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gej\OneDrive\바탕 화면\Maketing 실습\"/>
    </mc:Choice>
  </mc:AlternateContent>
  <xr:revisionPtr revIDLastSave="0" documentId="13_ncr:1_{52C0C321-423F-4543-ACB1-20BDD2FDB995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OKR, KPI 설정" sheetId="1" r:id="rId1"/>
    <sheet name="Content Marketing process-" sheetId="2" r:id="rId2"/>
    <sheet name="Sheet4" sheetId="3" r:id="rId3"/>
    <sheet name="WBS 제작 실습" sheetId="4" r:id="rId4"/>
    <sheet name="Funnel 전략" sheetId="5" r:id="rId5"/>
    <sheet name="UTL 빌더" sheetId="6" r:id="rId6"/>
    <sheet name="간단" sheetId="7" r:id="rId7"/>
    <sheet name="RoAS 실습" sheetId="8" r:id="rId8"/>
    <sheet name="RoAS 실습 미션" sheetId="9" r:id="rId9"/>
    <sheet name="ROI 실습" sheetId="10" r:id="rId10"/>
    <sheet name="3C 분석 시트" sheetId="11" r:id="rId11"/>
    <sheet name="SWOT 전략 수립" sheetId="12" r:id="rId12"/>
    <sheet name="STP 전략 수립" sheetId="13" r:id="rId13"/>
    <sheet name="STP 전략 수립_Mission" sheetId="14" r:id="rId14"/>
    <sheet name="RFM 분석" sheetId="15" r:id="rId15"/>
    <sheet name="RAW_DATA" sheetId="16" r:id="rId16"/>
    <sheet name="RFM Model" sheetId="17" r:id="rId17"/>
    <sheet name="RFM Model (2)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7" l="1"/>
  <c r="N9" i="17" s="1"/>
  <c r="J9" i="17"/>
  <c r="M9" i="17" s="1"/>
  <c r="H9" i="17"/>
  <c r="I9" i="17" s="1"/>
  <c r="L9" i="17" s="1"/>
  <c r="O9" i="17" s="1"/>
  <c r="P9" i="17" s="1"/>
  <c r="K8" i="17"/>
  <c r="N8" i="17" s="1"/>
  <c r="J8" i="17"/>
  <c r="M8" i="17" s="1"/>
  <c r="H8" i="17"/>
  <c r="I8" i="17" s="1"/>
  <c r="L8" i="17" s="1"/>
  <c r="O8" i="17" s="1"/>
  <c r="P8" i="17" s="1"/>
  <c r="K7" i="17"/>
  <c r="N7" i="17" s="1"/>
  <c r="J7" i="17"/>
  <c r="M7" i="17" s="1"/>
  <c r="H7" i="17"/>
  <c r="I7" i="17" s="1"/>
  <c r="L7" i="17" s="1"/>
  <c r="O7" i="17" s="1"/>
  <c r="P7" i="17" s="1"/>
  <c r="K6" i="17"/>
  <c r="N6" i="17" s="1"/>
  <c r="J6" i="17"/>
  <c r="M6" i="17" s="1"/>
  <c r="H6" i="17"/>
  <c r="I6" i="17" s="1"/>
  <c r="L6" i="17" s="1"/>
  <c r="O6" i="17" s="1"/>
  <c r="P6" i="17" s="1"/>
  <c r="K5" i="17"/>
  <c r="N5" i="17" s="1"/>
  <c r="J5" i="17"/>
  <c r="M5" i="17" s="1"/>
  <c r="H5" i="17"/>
  <c r="I5" i="17" s="1"/>
  <c r="L5" i="17" s="1"/>
  <c r="O5" i="17" s="1"/>
  <c r="P5" i="17" s="1"/>
  <c r="J10" i="10"/>
  <c r="I10" i="10"/>
  <c r="H10" i="10"/>
  <c r="G10" i="10"/>
  <c r="J9" i="10"/>
  <c r="I9" i="10"/>
  <c r="H9" i="10"/>
  <c r="G9" i="10"/>
  <c r="J8" i="10"/>
  <c r="I8" i="10"/>
  <c r="H8" i="10"/>
  <c r="G8" i="10"/>
  <c r="B3" i="10"/>
  <c r="B2" i="10"/>
  <c r="I8" i="9"/>
  <c r="H8" i="9"/>
  <c r="G8" i="9"/>
  <c r="I7" i="9"/>
  <c r="H7" i="9"/>
  <c r="G7" i="9"/>
  <c r="I6" i="9"/>
  <c r="B4" i="9" s="1"/>
  <c r="H6" i="9"/>
  <c r="G6" i="9"/>
  <c r="B3" i="9"/>
  <c r="B2" i="9"/>
  <c r="I9" i="8"/>
  <c r="H9" i="8"/>
  <c r="G9" i="8"/>
  <c r="I8" i="8"/>
  <c r="B5" i="8" s="1"/>
  <c r="H8" i="8"/>
  <c r="G8" i="8"/>
  <c r="I7" i="8"/>
  <c r="H7" i="8"/>
  <c r="G7" i="8"/>
  <c r="Q8" i="6"/>
  <c r="P8" i="6"/>
  <c r="R8" i="6" s="1"/>
  <c r="Q6" i="6"/>
  <c r="P6" i="6"/>
  <c r="R6" i="6" s="1"/>
</calcChain>
</file>

<file path=xl/sharedStrings.xml><?xml version="1.0" encoding="utf-8"?>
<sst xmlns="http://schemas.openxmlformats.org/spreadsheetml/2006/main" count="629" uniqueCount="408">
  <si>
    <t>https://sagejin99.cafe25.com/?&amp;utm_source=google&amp;utm_midiume=cpc&amp;beauty_campaign=2025_summer_MS&amp;utm_term=MS_Office&amp;utm_term=0707_MS_adv</t>
  </si>
  <si>
    <t>항목</t>
  </si>
  <si>
    <t xml:space="preserve">Opportunity : 충성도 높은 고객층, 왓챠 미진출 경쟁사 OTT 컨텐츠 섹터, 대형 OTT에서 미진한 컨텐츠 섹터, 산업 구조의 변화
~블록버스터 컨텐츠 수익률 하락, 타 플랫폼의 텍스트 리뷰 데이터X </t>
  </si>
  <si>
    <t>다양한 계층의 컨텐츠, 리뷰 충성도, 이용자 커뮤니케이션, 국외 OTT 플랫폼과 협업,
 웹툰 - 소설 타 컨텐츠로 진출 
리뷰 데이터 확보중</t>
  </si>
  <si>
    <t>Positioning : "매일 부담 없이 바꾸는 여름 주얼리"</t>
  </si>
  <si>
    <t>1) Raw Data : 실제 구매고객들의 데이터가 필요!</t>
  </si>
  <si>
    <t>Targeting : 인스타그램 이용률 높은 Z세대 직장인</t>
  </si>
  <si>
    <t>Opportunities(기회) -&gt; (Cumstomer)</t>
  </si>
  <si>
    <t>인스그램 릴수 3편, 카드뉴스 2종, 카페 배너 이미지 1종</t>
  </si>
  <si>
    <t xml:space="preserve">3. 타겟 설정 및 메세지 도출 :  기업 및 정부 // </t>
  </si>
  <si>
    <t>TPO : 출근 룩 / 바캉스 룩 / 페스티벌 시즌 스타일 제안</t>
  </si>
  <si>
    <t>프로젝트명 : 2025 여름 시즌 링귀걸이 프로모션 런칭 이벤트</t>
  </si>
  <si>
    <t>5. 어디에서 &gt; 광고 매체 : 집적 영업 및 유튜브 광고</t>
  </si>
  <si>
    <t>실제 구매까지 퍼널마케팅 분석 =&gt; 이탈률이 많은 구간 파악</t>
  </si>
  <si>
    <t>리뷰 컨텐츠 CTR 높음 -&gt; 리뷰를 강조한 콘텐츠 마케팅 시행</t>
  </si>
  <si>
    <t>1. 왜 &gt; 목적 / 신상품 링귀걸이 런칭기념 광고 캠페인</t>
  </si>
  <si>
    <t>Strength : 당일 배송 가능, 충성도 높은 고객 확보</t>
  </si>
  <si>
    <t>주요 키워드 발굴 : #혁신, #조직, #신사업, # EXEL</t>
  </si>
  <si>
    <t>Weakness : 낮은 점유율, 높은 인지도의 컨텐츠 부족, 자체 컨텐츠 부족, 보유 컨텐츠 대비 잠재 유저 인지 낮음
-&gt; 주변부 OTT라는 인식 + 낮은 자금 조달력,기획 + 개발 능력 확보 부족</t>
  </si>
  <si>
    <t>내부강점 : 다양한 계층의 컨텐츠, 리뷰 충성도, 이용자 커뮤니케이션, 국외 OTT 협업
약점 : 낮은 점유율, 높은 인지도의 컨텐츠 부족, 자체 컨텐츠 부족, 보유 컨텐츠 대비 잠재 유저 인지 낮음
자산(기회 요소) : 충성도 높은 고객층, 왓챠 미진출 경쟁사 OTT 컨텐츠 섹터
위협요인 : 적은 이용자 수, 신규 유입자, 경쟁 OTT의 컨텐츠 다각화</t>
  </si>
  <si>
    <t>브랜드명, 내부강점, 약점, 자산(기회요소), 위협요인
ex) 보유자산 : 기술력, 브랜드 인지도, 유통망 등
ex) 문제점 : 마케팅 예산 부족, 인력 부족, 전문성 부족</t>
  </si>
  <si>
    <t>Positioning : 동일 or 더 높은 가격, 자신이 찾는 컨텐츠와 그것과 연계된 컨텐츠를 위해 더 높은 금액을 소비 할 수 있는 유저 
/ 다양한 장르, 주변부 장르 취향</t>
  </si>
  <si>
    <t>내용</t>
  </si>
  <si>
    <t>대표 경쟁사 : Netplix, 웨이브-티빙
경쟁사 강점 : Netplix~자체 제작 컨텐츠, 컨텐츠 파워 -&gt; 자체제작 및 인기 컨텐츠 사용 충성
약점 : 비인기 컨텐츠를 수용X, 인기 컨텐츠 집중 전략 / 신규 유저 확보 어려움
Wave : 국내 드라마-영화 및 스포츠 컨텐츠 전속 계약 -&gt; 많은 유저, 지속적 사용
약점: 국내 컨텐츠에 큰 의존, 새로운 컨텐츠 부족
비교: Netplixe 자사 대비컨텐츠 파워 높음, But 컨텐츠 다양성 부족 / 세분화된 카테고리 부족, 리뷰 시스템 미흡
Wave: 자사 대비 컨텐츠 파워 낮음, 매력적요소 낮음, 기존 컨텐츠를 다시 사용, 홍보 및 마케팅 부족</t>
  </si>
  <si>
    <t>"친환경 관련 밈/노래/숏폼 등 / 친환경 관련 기타 정보 및 상품에 대한 호기심" =&gt;생각보다 친환경 어렵지 않다!"</t>
  </si>
  <si>
    <t>대표 경쟁사 : 1~2곳, 경쟁사 강, 약점, 차별화 포인트
비교요소 : 제품, UX, 가격정보, 광고문구, 디자인 등</t>
  </si>
  <si>
    <t>Segmentation : 전국 거주 / 텍스트 리뷰를 중시하는 이용자 / 대형 OTT 컨텐츠의 부족을 느끼는 유저</t>
  </si>
  <si>
    <t>해당 고객이 차지하는 LTV 비중이 높아,
 탈퇴시 매출 및 영업이익 손실에 영향이 큼
 -&gt; 별도의 고객 관리 필요</t>
  </si>
  <si>
    <t>적은 이용자 수, 신규 유입자, 경쟁 OTT의 컨텐츠 다각화, 시장 경쟁 심화, 기초 IP 부족, MOUS 컨텐츠 없음</t>
  </si>
  <si>
    <t>Company =&gt; 자사분석, 우리 브랜드 및 상품의 강점, 약점 등 -&gt; ex.) 가성비있는 가격대 + 트렌드한 디자인</t>
  </si>
  <si>
    <t>주요 키워드 발굴 : #여름 귀걸이, #링귀걸이, #데일리주얼리, # 직장인주얼리</t>
  </si>
  <si>
    <t>성별, 나이, 직업, 거주지, 생활 패턴, 고객 니즈, 제품 및 서비스 사용 패턴</t>
  </si>
  <si>
    <t>20-30대 여성을 대상 설문조사 : "성분이 안전한 기초 화장품" 선호 피드백 확인</t>
  </si>
  <si>
    <t>"상품 재구매 유도를 위한 장치 / 첫 상품 구매 후 1개월 내 사용 가능한 쿠폰"</t>
  </si>
  <si>
    <t>1:1 혜택 메세지 / VIP 고객 전용 쿠폰 / 신제품 출시
-&gt;사전 공개 혜택</t>
  </si>
  <si>
    <t>httos://cromidi.cafe24.com?utm_source=instagram</t>
  </si>
  <si>
    <t>초기 페르소나 도출 : "민감성 피부", "사용자 리뷰 꼼꼼히 읽는 편", "직장인"</t>
  </si>
  <si>
    <t>Threat : 글로벌 대형 브랜드 시장진출, 동종 업계 유사 서비스의 과포화상태</t>
  </si>
  <si>
    <t>4. 무엇으로 &gt; 마케팅 메세지 : 일상 고급 데일리 귀걸이 / 14K 링귀걸이</t>
  </si>
  <si>
    <t>외국 컨텐츠 IP 라이센스 국내 유통 계약
-&gt; 자체 제작 컨텐츠 제작 + 웹툰 및 소설등
낮은 단가의 대량의 IP를 가질 수 있음
외국 플랫품과의 협업으로 외국 OTT 시장 진출
+ 리뷰 데이터를 이용한 팬덤 컨텐츠 자체 제작</t>
  </si>
  <si>
    <t>성별: 전 성별 / 나이 : 10-60대(영화-영상 매체 익숙), 롱폼 콘텐츠 컨슈머
고객 니즈 : 홈 컨텐츠 소비, 타 OTT에 없는 컨텐츠 소비
제품 및 서비스 사용 패턴 : 개인 사용, (집중 시청자 / 비집중 시청자)</t>
  </si>
  <si>
    <t>"Office의 최신 기술 소개, 타 Office 프로그램과 차별화된 요소, 그리고 폭넓은 선택옵션 보여줌"</t>
  </si>
  <si>
    <t>이서연(28세, 컨텐츠마케터, 여름시즌 패션에 관심이 많음, 출.퇴근 코디용 주얼리 일주일에 1회 이상 구매</t>
  </si>
  <si>
    <t>"숏폼, SNS를 이용한 MS office의 활용성과 시각적 데이터 효과, 디자인 레이아웃 효과르 보여줌" =&gt;</t>
  </si>
  <si>
    <t>"Office를 이용해 생산성이 향상된 스토리를 카드뉴스 및 리뷰로 공모, 공유 시 연계 상품 무료 기간 제공"</t>
  </si>
  <si>
    <t>Competitor : 멤버십 제도 구체화, 생산인프라 구축 -&gt; 원가 절감, 브랜드 인지도, 충성고객 확보</t>
  </si>
  <si>
    <t>Strength : 다양한 계층의 컨텐츠, 리뷰 충성도, 이용자 커뮤니케이션, 국외 OTT 플랫폼과 협업, 웹툰 - 소설 타 컨텐츠로 진출, 리뷰 데이터 확보중</t>
  </si>
  <si>
    <t>(5) 성과분석</t>
  </si>
  <si>
    <t>W(Weakness)</t>
  </si>
  <si>
    <t xml:space="preserve"> - 소비자가 ;</t>
  </si>
  <si>
    <t>통제 불능 위험</t>
  </si>
  <si>
    <t xml:space="preserve"> - 총 광고비</t>
  </si>
  <si>
    <t>Media Mix</t>
  </si>
  <si>
    <t>브랜드명 : 왓챠</t>
  </si>
  <si>
    <t>(3) 광고 세팅</t>
  </si>
  <si>
    <t>*RFM 데이터 생성</t>
  </si>
  <si>
    <t>*3C 분석시트 작성</t>
  </si>
  <si>
    <t>소비 트렌드 변화</t>
  </si>
  <si>
    <t>T(Threats)</t>
  </si>
  <si>
    <t>USP(Unique Selling Point) : "가볍고 매일 착용 가능한 데일리 링귀걸이"</t>
  </si>
  <si>
    <t>Positioning : 프로 혼밥러를 위한 건강하고 빠른 반찬 정기배송 런칭</t>
  </si>
  <si>
    <t>3. 타겟 설정 및 메세지 도출 : 40대 여성 // 대도시 거주 직장인 여성</t>
  </si>
  <si>
    <t>Weakness : 원가 부담으로 인한 가격 경쟁력 약함, 브랜도 인지도 낮음</t>
  </si>
  <si>
    <t>T (Targeting) : 30대 초반 직장 여성 중 민감성 피부 고객</t>
  </si>
  <si>
    <t>서로 카피문안 상이함, 타겟 연령대 상이 -&gt; 어ᄄᅠᆫ 광고 성과 효율!</t>
  </si>
  <si>
    <t>"품질 확신"이 있는 브랜드만 반복 구매/쿠폰 &amp; 리뷰가 구매 결정에 중요</t>
  </si>
  <si>
    <t>Company : 자사 강점, 내부 리소스, 마케팅 전분 인력, UI UX</t>
  </si>
  <si>
    <t xml:space="preserve"> 유입 경료, 전환률, 리타게팅 효과, 광고매체별 RoaS, ROI 시각화</t>
  </si>
  <si>
    <t>Segmentation : 수도권 거주 / 직장인 / 친환경 1인 가구 직장인</t>
  </si>
  <si>
    <t>Targeting : 주 3회 이상 배달 음식을 시켜먹는 20-30대 직장인</t>
  </si>
  <si>
    <t>1. 왜 &gt; 목적 / 1사분기 MS office 재구매율 및 점유율 상승</t>
  </si>
  <si>
    <t>외부기회 : 긍정적 외부 환경 변화</t>
  </si>
  <si>
    <t>Competitor(경쟁사 분석)</t>
  </si>
  <si>
    <t>무신사, 다이소, 토스 etc</t>
  </si>
  <si>
    <t>A003, A004, A005</t>
  </si>
  <si>
    <t>*RFM 활용 페르소나 제작 실습</t>
  </si>
  <si>
    <t>KR - 2 : 판매 전환 300건</t>
  </si>
  <si>
    <t>contents Marketing</t>
  </si>
  <si>
    <t>외부 위협 요소 : 부정적 요소</t>
  </si>
  <si>
    <t>실제 상품 구매 확정 및 액션 실행</t>
  </si>
  <si>
    <t>GA4 + GTM 이벤트 구성</t>
  </si>
  <si>
    <t>인포그래픽 카드 뉴스, 이미지 정보</t>
  </si>
  <si>
    <t>MAU(*월간 활성 사용자수)확인</t>
  </si>
  <si>
    <t>1사분기 재구매율 및 점유율 상승</t>
  </si>
  <si>
    <t>ex) 20댕 여성, MZ 직장인</t>
  </si>
  <si>
    <t>"나는 이제 이 세제로 정착할래!"</t>
  </si>
  <si>
    <t>"실제 사용해보니 정말 괜찮네!!"</t>
  </si>
  <si>
    <t>브랜드 인지도, 기술력, 충성 고객</t>
  </si>
  <si>
    <t>예산 부족, UX 미흡, 충성 고객</t>
  </si>
  <si>
    <t>"주변 사람들한테 적극 알려야지!"</t>
  </si>
  <si>
    <t>구글애즈 : 광고 캠페인 세팅</t>
  </si>
  <si>
    <t>"지난번 사용 시 정말 괜찮았어"</t>
  </si>
  <si>
    <t>"구매하기" 버튼 클릭 이벤트 세팅</t>
  </si>
  <si>
    <t>2025_summer_event</t>
  </si>
  <si>
    <t>유튜브 : 쇼츠 (200만원)</t>
  </si>
  <si>
    <t>7월 1주차 : 제품 소개 영상</t>
  </si>
  <si>
    <t>B to B 영업률 20% 상승</t>
  </si>
  <si>
    <t>1) User Research</t>
  </si>
  <si>
    <t>브랜드 평판 지수 10% 상승 달성</t>
  </si>
  <si>
    <t>실제 리뷰 작성 시, "재구매","믿고 쓰는"이라는 단어를 많이 사용하는 고객
 -&gt; 타 사용자의 리뷰에서도 다음과 같은 키워드에 많은 영향을 받더라</t>
  </si>
  <si>
    <t>"Office를 구독하며 연계상품 무료 체험 ex) OneDrive 3개월 구독 무료, Office 구매 시 Adobe Primiume 1개월 체험"</t>
  </si>
  <si>
    <t>최근 30일 이내 2회 이상 구매한 고객 대부분이 30대 초반 -&gt; 평균 구매 금액 3만원 이상</t>
  </si>
  <si>
    <t>Targeting : 경쟁 오피스 프로그램 사용 조직 or 신사업 확장 및 창업을 시작하려는 조직</t>
  </si>
  <si>
    <t>2. 언제 &gt; 제작일정, 배포시기 : 2개월 전 준비 // 3개월 후 런칭 기념 100일 이벤트</t>
  </si>
  <si>
    <t xml:space="preserve">6. 어떻게 &gt; 컨텐츠 가공 : 타겟 여성과 유사한 사일반 사용자 혹은 인플루언서의 귀걸이 사용 </t>
  </si>
  <si>
    <t>멤버십 가입 유도 혹은 구독결제 서비스를 활용해서 충성고객으로 전환 시킴 / 타 상품 구매 x</t>
  </si>
  <si>
    <t>"상품에 대한 기초정보제공 혹은 샘플링을 활용한 사용유도" =&gt; 설문조사 응해주면 샘플 발송!</t>
  </si>
  <si>
    <t>Opportunity : 1인가구 증가 추세, 자녀 출산률 감소 -&gt; 자녀 교육비 투자 비용 상승</t>
  </si>
  <si>
    <t>"처음 만나는 보고서, 처음부터 완성도를 다르게 – Office 365로 스마트하게 시작하세요."</t>
  </si>
  <si>
    <t>WT 전략</t>
  </si>
  <si>
    <r>
      <t>*</t>
    </r>
    <r>
      <rPr>
        <b/>
        <sz val="11"/>
        <color rgb="FF000000"/>
        <rFont val="맑은 고딕"/>
        <family val="3"/>
        <charset val="129"/>
      </rPr>
      <t>User Research</t>
    </r>
    <r>
      <rPr>
        <sz val="11"/>
        <color rgb="FF000000"/>
        <rFont val="맑은 고딕"/>
        <family val="3"/>
        <charset val="129"/>
      </rPr>
      <t xml:space="preserve"> -&gt; 1차 STP -&gt; 서비스 런칭 -&gt; </t>
    </r>
    <r>
      <rPr>
        <b/>
        <sz val="11"/>
        <color rgb="FF000000"/>
        <rFont val="맑은 고딕"/>
        <family val="3"/>
        <charset val="129"/>
      </rPr>
      <t xml:space="preserve">RFM Model </t>
    </r>
    <r>
      <rPr>
        <sz val="11"/>
        <color rgb="FF000000"/>
        <rFont val="맑은 고딕"/>
        <family val="3"/>
        <charset val="129"/>
      </rPr>
      <t>-&gt; 2차 STP</t>
    </r>
  </si>
  <si>
    <t>"친환경 상품을 직접 구매할 수 있도록 유도 -&gt; 지금 구매하면 1 + 1" 20% 할인 한정인원 제공!!</t>
  </si>
  <si>
    <t>"친환경 세제 관련 인포그래픽 카드뉴스 / 집에서 실천 지구 살리기/ 친환경 용품 피부 및 기타 유익정보"</t>
  </si>
  <si>
    <t>주변부 시장 접근 + 충성도 높은 고객 확보
-&gt; B급 컨텐츠 확보 및 스낵 컬처 OTT 성장 가능성
기존 대형 OTT가 진입하지 못한 시장 확보 + IP 확보
"문화 산업 중 대안적 컨텐츠 플랫폼 시장 + 문화 컨텐츠 다변화 전략, 닛치 시장 집중 공략"</t>
  </si>
  <si>
    <t>Monetary</t>
  </si>
  <si>
    <t>RFM code</t>
  </si>
  <si>
    <t>민혜린 (가명)</t>
  </si>
  <si>
    <t>33세 / 여성</t>
  </si>
  <si>
    <t>0701_thumb2</t>
  </si>
  <si>
    <t>소스(Source)</t>
  </si>
  <si>
    <t xml:space="preserve"> -MS office</t>
  </si>
  <si>
    <t xml:space="preserve"> -상품,세탁세제</t>
  </si>
  <si>
    <t>MS_Office</t>
  </si>
  <si>
    <t>Referral</t>
  </si>
  <si>
    <t>Obective</t>
  </si>
  <si>
    <t>*WBS 제작 실습</t>
  </si>
  <si>
    <t>&gt;"유익한MS!"</t>
  </si>
  <si>
    <t>Interested</t>
  </si>
  <si>
    <t>Instgram</t>
  </si>
  <si>
    <t>실시간 성과 모니터링</t>
  </si>
  <si>
    <t>0707_MS_adv</t>
  </si>
  <si>
    <t>채널별 광고 생성</t>
  </si>
  <si>
    <t>instagram</t>
  </si>
  <si>
    <t>*SWOT 전략수립</t>
  </si>
  <si>
    <t>Activation</t>
  </si>
  <si>
    <t xml:space="preserve"> -총 매출 :</t>
  </si>
  <si>
    <t>숏폼, 릴스, 로고송</t>
  </si>
  <si>
    <t>Retention</t>
  </si>
  <si>
    <t xml:space="preserve"> - 총 광고비 :</t>
  </si>
  <si>
    <t>광고 채널 세팅</t>
  </si>
  <si>
    <t>* ROI 계산 실습</t>
  </si>
  <si>
    <t>매체(Medium)</t>
  </si>
  <si>
    <t>웹사이트 URL</t>
  </si>
  <si>
    <t>Frequence</t>
  </si>
  <si>
    <t>2025.05.28</t>
  </si>
  <si>
    <t>0701_thumb1</t>
  </si>
  <si>
    <t>2025.06.13</t>
  </si>
  <si>
    <t>2025.05.15</t>
  </si>
  <si>
    <t>Attention</t>
  </si>
  <si>
    <t>User Name</t>
  </si>
  <si>
    <t>KPI 대시보드 정리</t>
  </si>
  <si>
    <t>2025.03.01</t>
  </si>
  <si>
    <t>Keyresult-3</t>
  </si>
  <si>
    <t>2025.01.21</t>
  </si>
  <si>
    <t>"MS office를 사용한 흥미 유발 퍼포먼스(Ex, excelle 그림 그리기, PPT 작업을 이용한 스토리텔링 동영상 제작"</t>
  </si>
  <si>
    <t>Threat : 적은 이용자 수, 신규 유입자, 경쟁 OTT의 컨텐츠 다각화, 시장 경쟁 심화, 기초 IP 부족, MOUS 컨텐츠 없음</t>
  </si>
  <si>
    <t>P (Positioning) : "피부과도 인정한 믿을 수 있는 성분으로
 오픈마켓 기초부분 재구매율 1위를 달성한 믿고쓰는 독도토닉"</t>
  </si>
  <si>
    <t>Copetiton : 낮은 점유율, 높은 인지도의 컨텐츠 부족, 자체 컨텐츠 부족, 보유 컨텐츠 대비 브랜드 인식, 컨텐츠 인식 부족</t>
  </si>
  <si>
    <t>* 스케줄캘린더 제작실습</t>
  </si>
  <si>
    <t>* RoAS 계산 실습</t>
  </si>
  <si>
    <t>콘텐츠(Content)</t>
  </si>
  <si>
    <t>weak3(7/15-21)</t>
  </si>
  <si>
    <t>weak4(7/22-29)</t>
  </si>
  <si>
    <t>O(Opportunity)</t>
  </si>
  <si>
    <t>B to B 영업률 5 상승</t>
  </si>
  <si>
    <t xml:space="preserve"> - 평균 RoAS :</t>
  </si>
  <si>
    <t>OKR / KPI / NSM</t>
  </si>
  <si>
    <t>Purchase Date</t>
  </si>
  <si>
    <t>Keyresult -2</t>
  </si>
  <si>
    <t>2. RFM Model 분석</t>
  </si>
  <si>
    <t>3. STP 전략 수립 가능</t>
  </si>
  <si>
    <t>할인쿠폰 1+1 이벤트</t>
  </si>
  <si>
    <t>(2) 캠페인 설계 단계</t>
  </si>
  <si>
    <t>Customer(고객 분석)</t>
  </si>
  <si>
    <t>Company(자사분석)</t>
  </si>
  <si>
    <t>Google Search</t>
  </si>
  <si>
    <t>Price : 3800000</t>
  </si>
  <si>
    <t>"처음 들어본 브랜드"</t>
  </si>
  <si>
    <t>캠페인(campaign)</t>
  </si>
  <si>
    <t>UTML Builder</t>
  </si>
  <si>
    <t>*컨텐츠 마케팅 프로세스</t>
  </si>
  <si>
    <t>(4) 광고 집행 및 실행</t>
  </si>
  <si>
    <t>*스케줄캘린더 제작실습</t>
  </si>
  <si>
    <t>Weak1(7/1-7)</t>
  </si>
  <si>
    <t>2025_summer_MS</t>
  </si>
  <si>
    <t>수도권 고객, 제주 여행객</t>
  </si>
  <si>
    <t>(1) 전략 기획 단계</t>
  </si>
  <si>
    <t>KPI 분석 및 보고서</t>
  </si>
  <si>
    <t>광고/SEO 전략 설계</t>
  </si>
  <si>
    <t>*Funnel 전략 프로세스</t>
  </si>
  <si>
    <t>Last Purchase</t>
  </si>
  <si>
    <t>USP(Unique Selling Point) : "새로운 오피스 프로그램, 새로운 효율"</t>
  </si>
  <si>
    <t>2) RFM Model : 실제 구매고객들의 데이터를 활용한 주요고객 및 페르소나 도출목적</t>
  </si>
  <si>
    <t>Segmentation : 20~34 여성, SNS 및 온라인 쇼핑에 매우 익숙한 여성</t>
  </si>
  <si>
    <t>Recency = 16일 / Frequence = 3회 / Monetary = 52000</t>
  </si>
  <si>
    <t>6. 어떻게 &gt; 컨텐츠 가공 : 정부 및 기관, 기업 관계자 맞춤 -  브랜딩 콘텐츠 제작</t>
  </si>
  <si>
    <t>Positioning : "신생 기업 및 신사업 확장 기업에서 오피스 프로그램 선택지"</t>
  </si>
  <si>
    <t>S(Strengths)</t>
  </si>
  <si>
    <t>Keyresult -1</t>
  </si>
  <si>
    <t>weak2(7/8-14)</t>
  </si>
  <si>
    <t>Company =&gt; 강점 : 타사 대비 높은 브랜드 인지도, 시장 내 1점유율 / 정부 및 정부 인접 기관, 기업의 국내 Office program 사용</t>
  </si>
  <si>
    <t>https://sagejin99.cafe25.com/</t>
  </si>
  <si>
    <t>Strenght(강점) -&gt; 3C (Company)</t>
  </si>
  <si>
    <t>2. 언제 &gt; 제작일정, 배포시기 : 2개월 전 준비</t>
  </si>
  <si>
    <t>TPO : 사업초기 / 오피스 / 오피스 프로그램 제안</t>
  </si>
  <si>
    <t>7월 4주차 : 구매 후기 리포스트 프로모션 이벤트</t>
  </si>
  <si>
    <t>STP 전략 구성 (*세분화 -&gt; 타겟팅 -&gt; 포지셔닝)</t>
  </si>
  <si>
    <t>"그래서 MS office 프로그램이 뭐가 있는데?"</t>
  </si>
  <si>
    <t>2. 비즈니스 목표 : 신규 고객 확보 및 재구매율 증가</t>
  </si>
  <si>
    <t>유튜브 : 건너 뛸 수 있는 인스트링 광고 (200만원)</t>
  </si>
  <si>
    <t>Competitor =&gt; 한컴 및 기타 오피스 프로그램</t>
  </si>
  <si>
    <t>O : 7월 내 링귀걸이 제품 인지도 및 판매 확대</t>
  </si>
  <si>
    <t>타겟 세분화 미흡 -&gt; 20대 후반 중심 타겟 조정</t>
  </si>
  <si>
    <t>환경을 중시하는 고객, 트렌디한 소비를 즐기는 고객</t>
  </si>
  <si>
    <t>Meta 비즈니스 관리자 : 릴수, 스토리 캠페인 세팅</t>
  </si>
  <si>
    <t>*3C - &gt; SWOT -&gt; STP 전략 수립 프로세스</t>
  </si>
  <si>
    <t>자주 구매하는 고객, 앱을 1주 3회 이상 사용 고객</t>
  </si>
  <si>
    <t>SWOT 분석 (내부/외부 요인 도출 -&gt; 전략 수립)</t>
  </si>
  <si>
    <t>플랫폼 만의 장점을 부각시켜야 함! =&gt; 차별화 전략으로</t>
  </si>
  <si>
    <t>“MAU(월간 활성 사용자수) 10% 이상 지속 성장”</t>
  </si>
  <si>
    <t>https://sagejin99.cafe24.com/</t>
  </si>
  <si>
    <t>"MS이 뭔지 모르지만 유익한 것 같아"</t>
  </si>
  <si>
    <t>내부강점 : 잘하고 있는 것, 경쟁력</t>
  </si>
  <si>
    <t>"이 상품이 나름 괜찮은거 같은데?"</t>
  </si>
  <si>
    <t>리타게팅을 하기 위한 잠재고객 분류 설정</t>
  </si>
  <si>
    <t>"친환경이 뭔지 모르지만 유익한 것 같아"</t>
  </si>
  <si>
    <t>Place : 자사몰, 오픈마켓, 유튜브</t>
  </si>
  <si>
    <t>내부 사용자 데이터 수집 및 솔루션 제공</t>
  </si>
  <si>
    <t>B to G 영업률 20% 상승 달성</t>
  </si>
  <si>
    <t>구글 : 키워드 검색 광고 (300만원)</t>
  </si>
  <si>
    <t>"이 정보 나만 알기에는 아까워-!"</t>
  </si>
  <si>
    <t>step3 : 매체를 지정하고 컨텐츠 가공</t>
  </si>
  <si>
    <t>*OKR / KPI / NSM 작성 실습</t>
  </si>
  <si>
    <t>7월 2주차 : 스타일링 팁 카드뉴스</t>
  </si>
  <si>
    <t>가상의 브랜드 선정(*실존 // 가상)</t>
  </si>
  <si>
    <t>step2 : 타겟 설정 및 메세지 도출</t>
  </si>
  <si>
    <t>4P =&gt; product (플랫폼 가능)</t>
  </si>
  <si>
    <t>"그래서 친환경 상품이 뭐가 있는데?"</t>
  </si>
  <si>
    <t>(이익 - 광고비)/광고비 * 100</t>
  </si>
  <si>
    <t>내부약점 : 바죽한 점, 개선 필요 요소</t>
  </si>
  <si>
    <t>7월 4주차 : 제품 지속 사용시 할인 적용</t>
  </si>
  <si>
    <t>카페 : 카페 커뮤니티 배너광고(100만원)</t>
  </si>
  <si>
    <t>Place : 자사몰, 오픈마켓, 인스타그램</t>
  </si>
  <si>
    <t>Competitor =&gt; 29cm, 무신사 등</t>
  </si>
  <si>
    <t>Product : MS OFFICE PROGRAM</t>
  </si>
  <si>
    <t>Weakness(약점) -&gt;3C(Company)</t>
  </si>
  <si>
    <t>프리미엄 포장, 정기배송 옵션, 맞춤형 혜택</t>
  </si>
  <si>
    <t>step1 : 컨텐츠 마케팅 목표 및 일정 설정</t>
  </si>
  <si>
    <t>인스타그램 : 릴스 + 스토리 광고 (400만원)</t>
  </si>
  <si>
    <t>7월 3주차 : A/B 광고 뉴스 (A안, B안)</t>
  </si>
  <si>
    <t>*RFM 모델 활용 디지털 마케팅 전략 수립</t>
  </si>
  <si>
    <t>정기 구독 유도, 고액 구매시 보상 -&gt;만족도</t>
  </si>
  <si>
    <t>앱푸시 잘 반응, SNS에서 신제품 출시 검색</t>
  </si>
  <si>
    <t>Price : 1 + 1 할인 (14,800원)</t>
  </si>
  <si>
    <t>콘텐츠 보다는 플랫폼의 성격에 집중해야함!!</t>
  </si>
  <si>
    <t>Threats(위험) -&gt; (Competitor)</t>
  </si>
  <si>
    <t>KPI - 3 : 리타게팅 전환율 8% 이상</t>
  </si>
  <si>
    <t>"어차피 필요한데 그럼 한 번 구매해볼까?"</t>
  </si>
  <si>
    <t>KR - 1 : 총 유입자 수 20,000명 이상</t>
  </si>
  <si>
    <t>Product : 여름 데일리용 귀걸이 (3종)</t>
  </si>
  <si>
    <t>MS Software 기업 내부 사용 생태계 확장</t>
  </si>
  <si>
    <t>NSM : 구매당 평균 광고비용 3,000 이하</t>
  </si>
  <si>
    <t>카페 : 광고 문의 활용 배너 제작 및 일정 부킹</t>
  </si>
  <si>
    <t>자사 재품 대비 경쟁사 OA 사용 현황 분석</t>
  </si>
  <si>
    <t>1. 현상황 : 카페 24 MS software  CEO 운영관리</t>
  </si>
  <si>
    <t>Promotion : 신생 기업 및 신사업 팀에게 3개월치 무료 구독</t>
  </si>
  <si>
    <t>5. 어디에서 &gt; 광고 매체 : 네이버, 구글 ads, 인스타그램</t>
  </si>
  <si>
    <t>Customer =&gt; 2030 여성 / 여름 패션 관심이 많은 여성</t>
  </si>
  <si>
    <t xml:space="preserve">우리의 상품을 알아서 자발적으로 홍보해줌, 바이럴 효과 생성 / </t>
  </si>
  <si>
    <t>Promotion : 상품 구매 후 우수리뷰 작성 시, 추가 쿠폰 증정</t>
  </si>
  <si>
    <t>Customer : 2030 여성 직장인, 주말 리프레쉬를 선호함</t>
  </si>
  <si>
    <t>Segmentation : 40-50대 회사원, 조직 관리급 인사</t>
  </si>
  <si>
    <t>3C 분석 (Company. Customer, Competitor)</t>
  </si>
  <si>
    <t>김지호(54세), 퇴사 후 본인이 일했던 분야의 창업을 준비하는 중</t>
  </si>
  <si>
    <t>RFM 데이터 기반, 최우선 공략 Target 고객 페르소나 도출</t>
  </si>
  <si>
    <t>평일 퇴근 후 스마트폰 쇼핑, 합리적이지만 프리미엄 상품에도 관심</t>
  </si>
  <si>
    <t>A/B 테스트 광고 중 B가 구매전환을 2배 높은 -&gt; B 집중 시행</t>
  </si>
  <si>
    <t>GA4 실시간 리포트 + Meta Ads 대시보드 유입, 전환 체크</t>
  </si>
  <si>
    <t>Customer =&gt; 40/50 기업 내 조직 관리자 및 준관리자</t>
  </si>
  <si>
    <t>"이 url을 공유해서 지인 추천 받는다면 추가 할인 혜택 제공"</t>
  </si>
  <si>
    <t>샘플링</t>
  </si>
  <si>
    <t>cpc</t>
  </si>
  <si>
    <t>NSM</t>
  </si>
  <si>
    <t>단계</t>
  </si>
  <si>
    <t>고객수</t>
  </si>
  <si>
    <t>ROI</t>
  </si>
  <si>
    <t>소스</t>
  </si>
  <si>
    <t>키워드</t>
  </si>
  <si>
    <t>매체</t>
  </si>
  <si>
    <t>전지현</t>
  </si>
  <si>
    <t>구분</t>
  </si>
  <si>
    <t>왓챠</t>
  </si>
  <si>
    <t>CRM</t>
  </si>
  <si>
    <t>3단계</t>
  </si>
  <si>
    <t>캠페인</t>
  </si>
  <si>
    <t>콘텐츠</t>
  </si>
  <si>
    <t>4P</t>
  </si>
  <si>
    <t>합계</t>
  </si>
  <si>
    <t>의미</t>
  </si>
  <si>
    <t>CTR</t>
  </si>
  <si>
    <t>SEO</t>
  </si>
  <si>
    <t>클릭수</t>
  </si>
  <si>
    <t>url</t>
  </si>
  <si>
    <t>업무</t>
  </si>
  <si>
    <t>No</t>
  </si>
  <si>
    <t>비스트</t>
  </si>
  <si>
    <t>1단계</t>
  </si>
  <si>
    <t>전환수</t>
  </si>
  <si>
    <t>매출</t>
  </si>
  <si>
    <t>비고</t>
  </si>
  <si>
    <t>광고비</t>
  </si>
  <si>
    <t>CPA</t>
  </si>
  <si>
    <t>채널</t>
  </si>
  <si>
    <t>"</t>
  </si>
  <si>
    <t>노출수</t>
  </si>
  <si>
    <t>KPI</t>
  </si>
  <si>
    <t>현빈</t>
  </si>
  <si>
    <t>김혜수</t>
  </si>
  <si>
    <t>4단계</t>
  </si>
  <si>
    <t>원빈</t>
  </si>
  <si>
    <t>직업</t>
  </si>
  <si>
    <t>예시</t>
  </si>
  <si>
    <t>이름</t>
  </si>
  <si>
    <t>2단계</t>
  </si>
  <si>
    <t xml:space="preserve">충성도 높은 고객층, 왓챠 미진출 경쟁사 OTT 컨텐츠 섹터, 대형 OTT에서 미진한 컨텐츠 섹터
산업 구조의 변화~블록버스터 컨텐츠 수익률 하락
타 플랫폼의 텍스트 리뷰 데이터X </t>
  </si>
  <si>
    <t>낮은 점유율, 높은 인지도의 컨텐츠 부족, 
자체 컨텐츠 부족, 보유 컨텐츠 대비 잠재 유저 인지 낮음
-&gt; 주변부 OTT라는 인식 + 낮은 자금 조달력
기획 + 개발 능력 확보 부족</t>
  </si>
  <si>
    <t>KPI - 2</t>
  </si>
  <si>
    <t>이니스프리</t>
  </si>
  <si>
    <t>콘텐츠 타입</t>
  </si>
  <si>
    <t>콘텐츠 여부</t>
  </si>
  <si>
    <t>분석 내용</t>
  </si>
  <si>
    <t>A005</t>
  </si>
  <si>
    <t xml:space="preserve">개선안 도출 </t>
  </si>
  <si>
    <t>Search</t>
  </si>
  <si>
    <t>콘텐츠 제작</t>
  </si>
  <si>
    <t>STP 전략</t>
  </si>
  <si>
    <t>할인쿠폰</t>
  </si>
  <si>
    <t>A003</t>
  </si>
  <si>
    <t>콘텐츠 갤러리</t>
  </si>
  <si>
    <t>User ID</t>
  </si>
  <si>
    <t>멤버십 제도</t>
  </si>
  <si>
    <t>User Id</t>
  </si>
  <si>
    <t>컨텐츠 배포</t>
  </si>
  <si>
    <t>프로젝트명</t>
  </si>
  <si>
    <t>콘텐츠 내용</t>
  </si>
  <si>
    <t>A001</t>
  </si>
  <si>
    <t>퍼널단계</t>
  </si>
  <si>
    <t>전략기획</t>
  </si>
  <si>
    <t>A004</t>
  </si>
  <si>
    <t>Action</t>
  </si>
  <si>
    <t>A002</t>
  </si>
  <si>
    <t>콘텐츠 기획</t>
  </si>
  <si>
    <t>A006</t>
  </si>
  <si>
    <t>SO 전략</t>
  </si>
  <si>
    <t>카테고리</t>
  </si>
  <si>
    <t>Persona</t>
  </si>
  <si>
    <t>고객상태</t>
  </si>
  <si>
    <t>Youtne</t>
  </si>
  <si>
    <t>sabrweb</t>
  </si>
  <si>
    <t>매체종류</t>
  </si>
  <si>
    <t>행동 특성</t>
  </si>
  <si>
    <t>3C 분석</t>
  </si>
  <si>
    <t>QR 코드</t>
  </si>
  <si>
    <t>KPI -1</t>
  </si>
  <si>
    <t>광고매체</t>
  </si>
  <si>
    <t>google</t>
  </si>
  <si>
    <t>naver</t>
  </si>
  <si>
    <t xml:space="preserve"> -총 매출</t>
  </si>
  <si>
    <t>키워드여부</t>
  </si>
  <si>
    <t>UTM URL</t>
  </si>
  <si>
    <t>feed</t>
  </si>
  <si>
    <t>A/B 테스트</t>
  </si>
  <si>
    <t>Revenue</t>
  </si>
  <si>
    <t>구성 요소</t>
  </si>
  <si>
    <t>콘텐츠 배포</t>
  </si>
  <si>
    <t>RoAS</t>
  </si>
  <si>
    <t>영업이익률</t>
  </si>
  <si>
    <t>Sharing</t>
  </si>
  <si>
    <t>Amount</t>
  </si>
  <si>
    <t>포함 고객</t>
  </si>
  <si>
    <t>니즈 / 문제</t>
  </si>
  <si>
    <t>Segment</t>
  </si>
  <si>
    <t>F.score</t>
  </si>
  <si>
    <t>R.score</t>
  </si>
  <si>
    <t>General</t>
  </si>
  <si>
    <t>마케팅 전략</t>
  </si>
  <si>
    <t>타겟 세그먼트</t>
  </si>
  <si>
    <t>Best</t>
  </si>
  <si>
    <t>라이프스타일</t>
  </si>
  <si>
    <t>금융권 사무직</t>
  </si>
  <si>
    <t>디지털 행동</t>
  </si>
  <si>
    <t>Recency</t>
  </si>
  <si>
    <t>M.score</t>
  </si>
  <si>
    <t>나이 / 성별</t>
  </si>
  <si>
    <t>구매 행동</t>
  </si>
  <si>
    <t>위험요소</t>
  </si>
  <si>
    <t>기회 요소</t>
  </si>
  <si>
    <t>At Risk</t>
  </si>
  <si>
    <t>Customer : 타 OTT 플랫폼에서 자신과 핍진한 컨텐츠를 찾지 못한 유저, OTT 플랫폼을 잠재, 현재적 사용자 모두</t>
  </si>
  <si>
    <t>S (Segmentation) : 민감성 피부 / 30대초반 경제력 확보 
 평균구매 금액 3만원 이상 / 중저가 가격 선호</t>
  </si>
  <si>
    <t>4. 무엇으로 &gt; 마케팅 메세지 : "신임 조직에는 강력한 협업 도구가 필요합니다 – MS Office로 처음부터 함께하세요."</t>
  </si>
  <si>
    <t>Company : 다양한 계층의 컨텐츠, 리뷰 충성도, 이용자 커뮤니케이션, 국외 OTT 협업  왓챠 미진출 경쟁사 OTT 컨텐츠 섹터 /적은 이용자 수, 신규 유입자, 경쟁 OTT의 컨텐츠 다각화</t>
  </si>
  <si>
    <t>Targeting : 웹툰 / 웹소설 / 영화 컨텐츠를 한번의 구독으로 이용하려는 유저,
 대형 OTT에서 런칭하지 않은 닛치 시장에 속한 컨텐츠를 소비 희망하는 유저 + 개인 추천 알고리즘 세분화!</t>
  </si>
  <si>
    <t>instagram</t>
    <phoneticPr fontId="9" type="noConversion"/>
  </si>
  <si>
    <t>feed</t>
    <phoneticPr fontId="9" type="noConversion"/>
  </si>
  <si>
    <t>2025_moodlay_event1</t>
    <phoneticPr fontId="9" type="noConversion"/>
  </si>
  <si>
    <t>감성패션</t>
    <phoneticPr fontId="9" type="noConversion"/>
  </si>
  <si>
    <t>0728_main1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</si>
</sst>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0.0%"/>
    <numFmt numFmtId="177" formatCode="yy\-m\-d;@"/>
  </numFmts>
  <fonts count="10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u/>
      <sz val="11"/>
      <color rgb="FF0000FF"/>
      <name val="맑은 고딕"/>
      <family val="3"/>
      <charset val="129"/>
    </font>
    <font>
      <sz val="15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DF2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7D8"/>
        <bgColor indexed="64"/>
      </patternFill>
    </fill>
    <fill>
      <patternFill patternType="solid">
        <fgColor rgb="FFDFE6F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EBDEF1"/>
        <bgColor indexed="64"/>
      </patternFill>
    </fill>
    <fill>
      <patternFill patternType="solid">
        <fgColor rgb="FFE7E6E6"/>
        <bgColor indexed="64"/>
      </patternFill>
    </fill>
  </fills>
  <borders count="6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thick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/>
      <top style="dashed">
        <color auto="1"/>
      </top>
      <bottom style="medium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/>
      <right style="dashed">
        <color auto="1"/>
      </right>
      <top style="thin">
        <color auto="1"/>
      </top>
      <bottom style="dashed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thick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 style="medium">
        <color auto="1"/>
      </top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 style="dashed">
        <color auto="1"/>
      </left>
      <right/>
      <top style="medium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/>
      <bottom/>
      <diagonal/>
    </border>
    <border>
      <left/>
      <right style="dashed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 style="dashed">
        <color auto="1"/>
      </top>
      <bottom/>
      <diagonal/>
    </border>
  </borders>
  <cellStyleXfs count="2">
    <xf numFmtId="0" fontId="0" fillId="0" borderId="0">
      <alignment vertical="center"/>
    </xf>
    <xf numFmtId="0" fontId="0" fillId="2" borderId="8" xfId="0" applyFill="1" applyBorder="1" applyAlignment="1">
      <alignment horizontal="center" vertical="center"/>
    </xf>
  </cellStyleXfs>
  <cellXfs count="20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1">
      <alignment vertical="center"/>
    </xf>
    <xf numFmtId="0" fontId="0" fillId="0" borderId="9" xfId="1" applyBorder="1">
      <alignment vertical="center"/>
    </xf>
    <xf numFmtId="0" fontId="0" fillId="0" borderId="9" xfId="0" applyBorder="1">
      <alignment vertical="center"/>
    </xf>
    <xf numFmtId="0" fontId="0" fillId="0" borderId="10" xfId="1" applyBorder="1">
      <alignment vertical="center"/>
    </xf>
    <xf numFmtId="0" fontId="0" fillId="0" borderId="10" xfId="0" applyBorder="1">
      <alignment vertical="center"/>
    </xf>
    <xf numFmtId="0" fontId="0" fillId="0" borderId="10" xfId="1" applyBorder="1" applyAlignment="1">
      <alignment horizontal="center" vertical="center"/>
    </xf>
    <xf numFmtId="0" fontId="0" fillId="0" borderId="0" xfId="1" applyAlignment="1">
      <alignment horizontal="center" vertical="center"/>
    </xf>
    <xf numFmtId="0" fontId="0" fillId="0" borderId="9" xfId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1" applyBorder="1" applyAlignment="1">
      <alignment horizontal="center" vertical="center"/>
    </xf>
    <xf numFmtId="0" fontId="0" fillId="0" borderId="13" xfId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17" xfId="1" applyFill="1" applyBorder="1" applyAlignment="1">
      <alignment horizontal="center" vertical="center"/>
    </xf>
    <xf numFmtId="0" fontId="0" fillId="3" borderId="12" xfId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4" fillId="4" borderId="16" xfId="1" applyFont="1" applyFill="1" applyBorder="1" applyAlignment="1">
      <alignment horizontal="center" vertical="center"/>
    </xf>
    <xf numFmtId="0" fontId="0" fillId="4" borderId="12" xfId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2" fillId="0" borderId="0" xfId="1" applyFont="1">
      <alignment vertical="center"/>
    </xf>
    <xf numFmtId="0" fontId="0" fillId="0" borderId="18" xfId="1" applyBorder="1">
      <alignment vertical="center"/>
    </xf>
    <xf numFmtId="0" fontId="0" fillId="0" borderId="19" xfId="1" applyBorder="1">
      <alignment vertical="center"/>
    </xf>
    <xf numFmtId="0" fontId="0" fillId="0" borderId="20" xfId="1" applyBorder="1">
      <alignment vertical="center"/>
    </xf>
    <xf numFmtId="0" fontId="0" fillId="0" borderId="20" xfId="0" applyBorder="1">
      <alignment vertical="center"/>
    </xf>
    <xf numFmtId="0" fontId="0" fillId="2" borderId="10" xfId="1" applyFill="1" applyBorder="1">
      <alignment vertical="center"/>
    </xf>
    <xf numFmtId="0" fontId="0" fillId="2" borderId="10" xfId="0" applyFill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5" borderId="20" xfId="0" applyFill="1" applyBorder="1">
      <alignment vertical="center"/>
    </xf>
    <xf numFmtId="0" fontId="0" fillId="6" borderId="18" xfId="0" applyFill="1" applyBorder="1">
      <alignment vertical="center"/>
    </xf>
    <xf numFmtId="0" fontId="0" fillId="6" borderId="0" xfId="0" applyFill="1">
      <alignment vertical="center"/>
    </xf>
    <xf numFmtId="0" fontId="0" fillId="6" borderId="19" xfId="0" applyFill="1" applyBorder="1">
      <alignment vertical="center"/>
    </xf>
    <xf numFmtId="0" fontId="0" fillId="6" borderId="9" xfId="0" applyFill="1" applyBorder="1">
      <alignment vertical="center"/>
    </xf>
    <xf numFmtId="0" fontId="0" fillId="6" borderId="6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20" xfId="0" applyFill="1" applyBorder="1">
      <alignment vertical="center"/>
    </xf>
    <xf numFmtId="0" fontId="0" fillId="0" borderId="21" xfId="1" applyBorder="1" applyAlignment="1">
      <alignment horizontal="center" vertical="center"/>
    </xf>
    <xf numFmtId="0" fontId="0" fillId="3" borderId="1" xfId="1" applyFill="1" applyBorder="1" applyAlignment="1">
      <alignment horizontal="center" vertical="center"/>
    </xf>
    <xf numFmtId="0" fontId="0" fillId="0" borderId="1" xfId="1" applyBorder="1" applyAlignment="1">
      <alignment horizontal="center" vertical="center"/>
    </xf>
    <xf numFmtId="0" fontId="0" fillId="0" borderId="22" xfId="1" applyBorder="1" applyAlignment="1">
      <alignment horizontal="center" vertical="center"/>
    </xf>
    <xf numFmtId="0" fontId="0" fillId="6" borderId="1" xfId="1" applyFill="1" applyBorder="1" applyAlignment="1">
      <alignment horizontal="center" vertical="center"/>
    </xf>
    <xf numFmtId="0" fontId="0" fillId="5" borderId="1" xfId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1" applyBorder="1" applyAlignment="1">
      <alignment horizontal="center" vertical="center"/>
    </xf>
    <xf numFmtId="0" fontId="0" fillId="0" borderId="24" xfId="1" applyBorder="1" applyAlignment="1">
      <alignment horizontal="center" vertical="center"/>
    </xf>
    <xf numFmtId="0" fontId="0" fillId="7" borderId="25" xfId="1" applyFill="1" applyBorder="1" applyAlignment="1">
      <alignment horizontal="center" vertical="center"/>
    </xf>
    <xf numFmtId="0" fontId="0" fillId="7" borderId="26" xfId="1" applyFill="1" applyBorder="1" applyAlignment="1">
      <alignment horizontal="center" vertical="center"/>
    </xf>
    <xf numFmtId="0" fontId="0" fillId="7" borderId="27" xfId="1" applyFill="1" applyBorder="1" applyAlignment="1">
      <alignment horizontal="center" vertical="center"/>
    </xf>
    <xf numFmtId="0" fontId="0" fillId="8" borderId="28" xfId="1" applyFill="1" applyBorder="1" applyAlignment="1">
      <alignment horizontal="center" vertical="center"/>
    </xf>
    <xf numFmtId="0" fontId="0" fillId="8" borderId="22" xfId="1" applyFill="1" applyBorder="1" applyAlignment="1">
      <alignment horizontal="center" vertical="center"/>
    </xf>
    <xf numFmtId="0" fontId="0" fillId="9" borderId="26" xfId="1" applyFill="1" applyBorder="1" applyAlignment="1">
      <alignment horizontal="center" vertical="center"/>
    </xf>
    <xf numFmtId="0" fontId="0" fillId="9" borderId="27" xfId="1" applyFill="1" applyBorder="1" applyAlignment="1">
      <alignment horizontal="center" vertical="center"/>
    </xf>
    <xf numFmtId="0" fontId="0" fillId="9" borderId="29" xfId="1" applyFill="1" applyBorder="1" applyAlignment="1">
      <alignment horizontal="center" vertical="center"/>
    </xf>
    <xf numFmtId="0" fontId="0" fillId="9" borderId="30" xfId="1" applyFill="1" applyBorder="1" applyAlignment="1">
      <alignment horizontal="center" vertical="center"/>
    </xf>
    <xf numFmtId="0" fontId="0" fillId="0" borderId="5" xfId="1" applyBorder="1" applyAlignment="1">
      <alignment horizontal="center" vertical="center"/>
    </xf>
    <xf numFmtId="0" fontId="0" fillId="0" borderId="6" xfId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3" fontId="0" fillId="4" borderId="6" xfId="1" applyNumberFormat="1" applyFill="1" applyBorder="1" applyAlignment="1">
      <alignment horizontal="center" vertical="center"/>
    </xf>
    <xf numFmtId="3" fontId="0" fillId="4" borderId="1" xfId="1" applyNumberFormat="1" applyFill="1" applyBorder="1" applyAlignment="1">
      <alignment horizontal="center" vertical="center"/>
    </xf>
    <xf numFmtId="3" fontId="0" fillId="4" borderId="24" xfId="1" applyNumberFormat="1" applyFill="1" applyBorder="1" applyAlignment="1">
      <alignment horizontal="center" vertical="center"/>
    </xf>
    <xf numFmtId="3" fontId="0" fillId="0" borderId="0" xfId="1" applyNumberFormat="1" applyAlignment="1">
      <alignment horizontal="center" vertical="center"/>
    </xf>
    <xf numFmtId="3" fontId="0" fillId="0" borderId="6" xfId="1" applyNumberFormat="1" applyBorder="1" applyAlignment="1">
      <alignment horizontal="center" vertical="center"/>
    </xf>
    <xf numFmtId="3" fontId="0" fillId="0" borderId="1" xfId="1" applyNumberFormat="1" applyBorder="1" applyAlignment="1">
      <alignment horizontal="center" vertical="center"/>
    </xf>
    <xf numFmtId="176" fontId="0" fillId="0" borderId="0" xfId="1" applyNumberFormat="1">
      <alignment vertical="center"/>
    </xf>
    <xf numFmtId="3" fontId="0" fillId="0" borderId="24" xfId="1" applyNumberFormat="1" applyBorder="1" applyAlignment="1">
      <alignment horizontal="center" vertical="center"/>
    </xf>
    <xf numFmtId="176" fontId="0" fillId="0" borderId="22" xfId="1" applyNumberFormat="1" applyBorder="1">
      <alignment vertical="center"/>
    </xf>
    <xf numFmtId="176" fontId="0" fillId="0" borderId="28" xfId="1" applyNumberFormat="1" applyBorder="1">
      <alignment vertical="center"/>
    </xf>
    <xf numFmtId="9" fontId="0" fillId="0" borderId="6" xfId="1" applyNumberFormat="1" applyBorder="1" applyAlignment="1">
      <alignment horizontal="center" vertical="center"/>
    </xf>
    <xf numFmtId="9" fontId="0" fillId="0" borderId="24" xfId="1" applyNumberFormat="1" applyBorder="1" applyAlignment="1">
      <alignment horizontal="center" vertical="center"/>
    </xf>
    <xf numFmtId="9" fontId="0" fillId="0" borderId="0" xfId="1" applyNumberFormat="1" applyAlignment="1">
      <alignment horizontal="center" vertical="center"/>
    </xf>
    <xf numFmtId="0" fontId="5" fillId="0" borderId="0" xfId="1" applyFont="1">
      <alignment vertical="center"/>
    </xf>
    <xf numFmtId="3" fontId="0" fillId="0" borderId="0" xfId="1" applyNumberFormat="1">
      <alignment vertical="center"/>
    </xf>
    <xf numFmtId="42" fontId="0" fillId="0" borderId="0" xfId="1" applyNumberFormat="1">
      <alignment vertical="center"/>
    </xf>
    <xf numFmtId="9" fontId="0" fillId="0" borderId="0" xfId="1" applyNumberFormat="1">
      <alignment vertical="center"/>
    </xf>
    <xf numFmtId="0" fontId="0" fillId="9" borderId="31" xfId="1" applyFill="1" applyBorder="1" applyAlignment="1">
      <alignment horizontal="center" vertical="center"/>
    </xf>
    <xf numFmtId="0" fontId="0" fillId="9" borderId="32" xfId="1" applyFill="1" applyBorder="1" applyAlignment="1">
      <alignment horizontal="center" vertical="center"/>
    </xf>
    <xf numFmtId="0" fontId="0" fillId="0" borderId="26" xfId="1" applyBorder="1" applyAlignment="1">
      <alignment horizontal="center" vertical="center"/>
    </xf>
    <xf numFmtId="176" fontId="0" fillId="0" borderId="27" xfId="1" applyNumberFormat="1" applyBorder="1">
      <alignment vertical="center"/>
    </xf>
    <xf numFmtId="0" fontId="6" fillId="2" borderId="10" xfId="0" applyFont="1" applyFill="1" applyBorder="1">
      <alignment vertical="center"/>
    </xf>
    <xf numFmtId="0" fontId="7" fillId="0" borderId="0" xfId="1" applyFont="1">
      <alignment vertical="center"/>
    </xf>
    <xf numFmtId="0" fontId="0" fillId="9" borderId="29" xfId="0" applyFill="1" applyBorder="1" applyAlignment="1">
      <alignment horizontal="center" vertical="center"/>
    </xf>
    <xf numFmtId="3" fontId="0" fillId="4" borderId="6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3" fontId="0" fillId="4" borderId="24" xfId="0" applyNumberFormat="1" applyFill="1" applyBorder="1" applyAlignment="1">
      <alignment horizontal="center" vertical="center"/>
    </xf>
    <xf numFmtId="0" fontId="0" fillId="0" borderId="0" xfId="1" applyAlignment="1">
      <alignment horizontal="center" vertical="center" wrapText="1"/>
    </xf>
    <xf numFmtId="3" fontId="0" fillId="4" borderId="24" xfId="0" applyNumberFormat="1" applyFill="1" applyBorder="1" applyAlignment="1">
      <alignment horizontal="center" vertical="center" wrapText="1"/>
    </xf>
    <xf numFmtId="3" fontId="0" fillId="4" borderId="6" xfId="0" applyNumberFormat="1" applyFill="1" applyBorder="1" applyAlignment="1">
      <alignment horizontal="center" vertical="center" wrapText="1"/>
    </xf>
    <xf numFmtId="0" fontId="0" fillId="0" borderId="0" xfId="1" applyAlignment="1">
      <alignment vertical="center" wrapText="1"/>
    </xf>
    <xf numFmtId="0" fontId="8" fillId="0" borderId="0" xfId="0" applyFont="1">
      <alignment vertical="center"/>
    </xf>
    <xf numFmtId="3" fontId="0" fillId="4" borderId="1" xfId="0" applyNumberFormat="1" applyFill="1" applyBorder="1" applyAlignment="1">
      <alignment horizontal="center" vertical="center" wrapText="1"/>
    </xf>
    <xf numFmtId="0" fontId="6" fillId="0" borderId="33" xfId="1" applyFont="1" applyBorder="1" applyAlignment="1">
      <alignment horizontal="center" vertical="center"/>
    </xf>
    <xf numFmtId="0" fontId="0" fillId="0" borderId="34" xfId="1" applyBorder="1">
      <alignment vertical="center"/>
    </xf>
    <xf numFmtId="0" fontId="0" fillId="0" borderId="33" xfId="1" applyBorder="1">
      <alignment vertical="center"/>
    </xf>
    <xf numFmtId="0" fontId="0" fillId="0" borderId="16" xfId="1" applyBorder="1">
      <alignment vertical="center"/>
    </xf>
    <xf numFmtId="0" fontId="0" fillId="0" borderId="12" xfId="1" applyBorder="1">
      <alignment vertical="center"/>
    </xf>
    <xf numFmtId="0" fontId="6" fillId="0" borderId="0" xfId="1" applyFont="1">
      <alignment vertical="center"/>
    </xf>
    <xf numFmtId="0" fontId="0" fillId="0" borderId="0" xfId="1" applyAlignment="1">
      <alignment horizontal="left" vertical="center"/>
    </xf>
    <xf numFmtId="177" fontId="0" fillId="0" borderId="0" xfId="1" applyNumberFormat="1" applyAlignment="1">
      <alignment horizontal="center" vertical="center"/>
    </xf>
    <xf numFmtId="41" fontId="0" fillId="0" borderId="0" xfId="1" applyNumberFormat="1" applyAlignment="1">
      <alignment horizontal="center" vertical="center"/>
    </xf>
    <xf numFmtId="41" fontId="0" fillId="0" borderId="0" xfId="1" applyNumberFormat="1">
      <alignment vertical="center"/>
    </xf>
    <xf numFmtId="14" fontId="0" fillId="0" borderId="0" xfId="1" applyNumberFormat="1" applyAlignment="1">
      <alignment horizontal="center" vertical="center"/>
    </xf>
    <xf numFmtId="6" fontId="0" fillId="0" borderId="0" xfId="1" applyNumberForma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0" fillId="0" borderId="25" xfId="1" applyBorder="1" applyAlignment="1">
      <alignment horizontal="center" vertical="center" wrapText="1"/>
    </xf>
    <xf numFmtId="0" fontId="0" fillId="0" borderId="21" xfId="1" applyBorder="1" applyAlignment="1">
      <alignment horizontal="center" vertical="center" wrapText="1"/>
    </xf>
    <xf numFmtId="0" fontId="0" fillId="0" borderId="35" xfId="1" applyBorder="1" applyAlignment="1">
      <alignment horizontal="center" vertical="center"/>
    </xf>
    <xf numFmtId="0" fontId="6" fillId="0" borderId="36" xfId="1" applyFont="1" applyBorder="1" applyAlignment="1">
      <alignment horizontal="center" vertical="center"/>
    </xf>
    <xf numFmtId="41" fontId="0" fillId="0" borderId="25" xfId="1" applyNumberFormat="1" applyBorder="1" applyAlignment="1">
      <alignment horizontal="center" vertical="center"/>
    </xf>
    <xf numFmtId="41" fontId="0" fillId="0" borderId="21" xfId="1" applyNumberFormat="1" applyBorder="1" applyAlignment="1">
      <alignment horizontal="center" vertical="center"/>
    </xf>
    <xf numFmtId="0" fontId="0" fillId="4" borderId="13" xfId="1" applyFill="1" applyBorder="1" applyAlignment="1">
      <alignment horizontal="center" vertical="center"/>
    </xf>
    <xf numFmtId="0" fontId="0" fillId="4" borderId="47" xfId="1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3" borderId="41" xfId="1" applyFill="1" applyBorder="1" applyAlignment="1">
      <alignment horizontal="center" vertical="center"/>
    </xf>
    <xf numFmtId="0" fontId="0" fillId="3" borderId="16" xfId="1" applyFill="1" applyBorder="1" applyAlignment="1">
      <alignment horizontal="center" vertical="center"/>
    </xf>
    <xf numFmtId="0" fontId="0" fillId="3" borderId="42" xfId="1" applyFill="1" applyBorder="1" applyAlignment="1">
      <alignment horizontal="center" vertical="center"/>
    </xf>
    <xf numFmtId="0" fontId="0" fillId="3" borderId="43" xfId="1" applyFill="1" applyBorder="1" applyAlignment="1">
      <alignment horizontal="center" vertical="center"/>
    </xf>
    <xf numFmtId="0" fontId="0" fillId="3" borderId="44" xfId="1" applyFill="1" applyBorder="1" applyAlignment="1">
      <alignment horizontal="center" vertical="center"/>
    </xf>
    <xf numFmtId="0" fontId="0" fillId="3" borderId="45" xfId="1" applyFill="1" applyBorder="1" applyAlignment="1">
      <alignment horizontal="center" vertical="center"/>
    </xf>
    <xf numFmtId="0" fontId="0" fillId="2" borderId="41" xfId="1" applyFill="1" applyBorder="1" applyAlignment="1">
      <alignment horizontal="center" vertical="center"/>
    </xf>
    <xf numFmtId="0" fontId="0" fillId="2" borderId="16" xfId="1" applyFill="1" applyBorder="1" applyAlignment="1">
      <alignment horizontal="center" vertical="center"/>
    </xf>
    <xf numFmtId="0" fontId="0" fillId="2" borderId="17" xfId="1" applyFill="1" applyBorder="1" applyAlignment="1">
      <alignment horizontal="center" vertical="center"/>
    </xf>
    <xf numFmtId="0" fontId="0" fillId="2" borderId="12" xfId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0" fillId="2" borderId="46" xfId="1" applyFill="1" applyBorder="1" applyAlignment="1">
      <alignment horizontal="center" vertical="center"/>
    </xf>
    <xf numFmtId="0" fontId="0" fillId="2" borderId="13" xfId="1" applyFill="1" applyBorder="1" applyAlignment="1">
      <alignment horizontal="center" vertical="center"/>
    </xf>
    <xf numFmtId="0" fontId="0" fillId="4" borderId="13" xfId="1" applyFill="1" applyBorder="1" applyAlignment="1">
      <alignment horizontal="center" vertical="center"/>
    </xf>
    <xf numFmtId="0" fontId="0" fillId="4" borderId="47" xfId="1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 wrapText="1"/>
    </xf>
    <xf numFmtId="0" fontId="0" fillId="9" borderId="29" xfId="0" applyFill="1" applyBorder="1" applyAlignment="1">
      <alignment horizontal="center" vertical="center" wrapText="1"/>
    </xf>
    <xf numFmtId="0" fontId="0" fillId="0" borderId="0" xfId="1" applyFill="1" applyBorder="1" applyAlignment="1">
      <alignment horizontal="center" vertical="center" wrapText="1"/>
    </xf>
    <xf numFmtId="0" fontId="0" fillId="0" borderId="0" xfId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8" xfId="1" applyFill="1" applyBorder="1" applyAlignment="1">
      <alignment horizontal="center" vertical="center"/>
    </xf>
    <xf numFmtId="0" fontId="0" fillId="0" borderId="49" xfId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12" xfId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1" applyFill="1" applyBorder="1" applyAlignment="1">
      <alignment horizontal="center" vertical="center" wrapText="1"/>
    </xf>
    <xf numFmtId="0" fontId="0" fillId="0" borderId="50" xfId="1" applyFill="1" applyBorder="1" applyAlignment="1">
      <alignment horizontal="center" vertical="center"/>
    </xf>
    <xf numFmtId="0" fontId="0" fillId="0" borderId="51" xfId="1" applyFill="1" applyBorder="1" applyAlignment="1">
      <alignment horizontal="center" vertical="center"/>
    </xf>
    <xf numFmtId="0" fontId="0" fillId="0" borderId="52" xfId="1" applyFill="1" applyBorder="1" applyAlignment="1">
      <alignment horizontal="center" vertical="center"/>
    </xf>
    <xf numFmtId="0" fontId="0" fillId="0" borderId="53" xfId="1" applyFill="1" applyBorder="1" applyAlignment="1">
      <alignment horizontal="center" vertical="center"/>
    </xf>
    <xf numFmtId="0" fontId="0" fillId="0" borderId="12" xfId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1" applyFill="1" applyBorder="1" applyAlignment="1">
      <alignment horizontal="center" vertical="center"/>
    </xf>
    <xf numFmtId="0" fontId="0" fillId="0" borderId="54" xfId="1" applyFill="1" applyBorder="1" applyAlignment="1">
      <alignment horizontal="center" vertical="center"/>
    </xf>
    <xf numFmtId="0" fontId="0" fillId="0" borderId="47" xfId="1" applyFill="1" applyBorder="1" applyAlignment="1">
      <alignment horizontal="center" vertical="center" wrapText="1"/>
    </xf>
    <xf numFmtId="0" fontId="0" fillId="0" borderId="9" xfId="1" applyFill="1" applyBorder="1" applyAlignment="1">
      <alignment horizontal="center" vertical="center"/>
    </xf>
    <xf numFmtId="0" fontId="0" fillId="0" borderId="55" xfId="1" applyFill="1" applyBorder="1" applyAlignment="1">
      <alignment horizontal="center" vertical="center"/>
    </xf>
    <xf numFmtId="0" fontId="0" fillId="0" borderId="11" xfId="1" applyFill="1" applyBorder="1" applyAlignment="1">
      <alignment horizontal="center" vertical="center" wrapText="1"/>
    </xf>
    <xf numFmtId="0" fontId="0" fillId="0" borderId="11" xfId="1" applyFill="1" applyBorder="1" applyAlignment="1">
      <alignment horizontal="center" vertical="center"/>
    </xf>
    <xf numFmtId="0" fontId="0" fillId="0" borderId="15" xfId="1" applyFill="1" applyBorder="1" applyAlignment="1">
      <alignment horizontal="center" vertical="center"/>
    </xf>
    <xf numFmtId="0" fontId="0" fillId="0" borderId="0" xfId="1" applyFill="1" applyBorder="1" applyAlignment="1">
      <alignment horizontal="left" vertical="center"/>
    </xf>
    <xf numFmtId="0" fontId="0" fillId="0" borderId="0" xfId="1" applyFill="1" applyBorder="1" applyAlignment="1">
      <alignment horizontal="left" vertical="center" wrapText="1"/>
    </xf>
    <xf numFmtId="0" fontId="0" fillId="0" borderId="10" xfId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6" xfId="1" applyFill="1" applyBorder="1" applyAlignment="1">
      <alignment horizontal="center" vertical="center"/>
    </xf>
    <xf numFmtId="0" fontId="0" fillId="0" borderId="27" xfId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1" applyFill="1" applyBorder="1" applyAlignment="1">
      <alignment horizontal="center" vertical="center"/>
    </xf>
    <xf numFmtId="0" fontId="0" fillId="0" borderId="22" xfId="1" applyFill="1" applyBorder="1" applyAlignment="1">
      <alignment horizontal="center" vertical="center"/>
    </xf>
    <xf numFmtId="0" fontId="6" fillId="0" borderId="56" xfId="1" applyFont="1" applyFill="1" applyBorder="1" applyAlignment="1">
      <alignment horizontal="center" vertical="center"/>
    </xf>
    <xf numFmtId="0" fontId="6" fillId="0" borderId="57" xfId="1" applyFont="1" applyFill="1" applyBorder="1" applyAlignment="1">
      <alignment horizontal="center" vertical="center"/>
    </xf>
    <xf numFmtId="0" fontId="0" fillId="0" borderId="26" xfId="1" applyFill="1" applyBorder="1" applyAlignment="1">
      <alignment horizontal="center" vertical="center" wrapText="1"/>
    </xf>
    <xf numFmtId="0" fontId="0" fillId="0" borderId="27" xfId="1" applyFill="1" applyBorder="1" applyAlignment="1">
      <alignment horizontal="center" vertical="center" wrapText="1"/>
    </xf>
    <xf numFmtId="0" fontId="0" fillId="0" borderId="1" xfId="1" applyFill="1" applyBorder="1" applyAlignment="1">
      <alignment horizontal="center" vertical="center" wrapText="1"/>
    </xf>
    <xf numFmtId="0" fontId="0" fillId="0" borderId="22" xfId="1" applyFill="1" applyBorder="1" applyAlignment="1">
      <alignment horizontal="center" vertical="center" wrapText="1"/>
    </xf>
    <xf numFmtId="0" fontId="0" fillId="0" borderId="58" xfId="1" applyFill="1" applyBorder="1" applyAlignment="1">
      <alignment horizontal="center" vertical="center"/>
    </xf>
    <xf numFmtId="0" fontId="0" fillId="0" borderId="59" xfId="1" applyFill="1" applyBorder="1" applyAlignment="1">
      <alignment horizontal="center" vertical="center"/>
    </xf>
    <xf numFmtId="0" fontId="0" fillId="0" borderId="58" xfId="1" applyFill="1" applyBorder="1" applyAlignment="1">
      <alignment horizontal="center" vertical="center" wrapText="1"/>
    </xf>
    <xf numFmtId="0" fontId="0" fillId="0" borderId="51" xfId="1" applyFill="1" applyBorder="1" applyAlignment="1">
      <alignment horizontal="center" vertical="center"/>
    </xf>
    <xf numFmtId="0" fontId="0" fillId="0" borderId="61" xfId="1" applyFill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60" xfId="1" applyFont="1" applyFill="1" applyBorder="1" applyAlignment="1">
      <alignment horizontal="center" vertical="center"/>
    </xf>
    <xf numFmtId="0" fontId="1" fillId="0" borderId="12" xfId="1" applyFont="1" applyFill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sagejin99.cafe24.com/" TargetMode="External"/><Relationship Id="rId1" Type="http://schemas.openxmlformats.org/officeDocument/2006/relationships/hyperlink" Target="https://sagejin99.cafe24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3:M13"/>
  <sheetViews>
    <sheetView topLeftCell="B7" zoomScaleNormal="100" zoomScaleSheetLayoutView="100" workbookViewId="0">
      <selection activeCell="E13" sqref="E13"/>
    </sheetView>
  </sheetViews>
  <sheetFormatPr defaultColWidth="9" defaultRowHeight="50.15" customHeight="1" x14ac:dyDescent="0.45"/>
  <cols>
    <col min="3" max="3" width="20.25" customWidth="1"/>
    <col min="4" max="4" width="33.83203125" customWidth="1"/>
  </cols>
  <sheetData>
    <row r="3" spans="2:13" ht="50.15" customHeight="1" x14ac:dyDescent="0.45">
      <c r="B3" s="11" t="s">
        <v>232</v>
      </c>
    </row>
    <row r="4" spans="2:13" ht="50.15" customHeight="1" x14ac:dyDescent="0.45">
      <c r="B4" t="s">
        <v>264</v>
      </c>
    </row>
    <row r="5" spans="2:13" ht="50.15" customHeight="1" x14ac:dyDescent="0.45">
      <c r="B5" t="s">
        <v>208</v>
      </c>
    </row>
    <row r="6" spans="2:13" ht="50.15" customHeight="1" x14ac:dyDescent="0.45">
      <c r="B6" s="9" t="s">
        <v>304</v>
      </c>
      <c r="C6" s="10" t="s">
        <v>290</v>
      </c>
      <c r="D6" s="10" t="s">
        <v>1</v>
      </c>
      <c r="E6" s="1" t="s">
        <v>22</v>
      </c>
      <c r="F6" s="1"/>
      <c r="G6" s="1"/>
      <c r="H6" s="1"/>
      <c r="I6" s="133"/>
      <c r="J6" s="1"/>
      <c r="K6" s="1"/>
      <c r="L6" s="1"/>
      <c r="M6" s="1"/>
    </row>
    <row r="7" spans="2:13" ht="50.15" customHeight="1" x14ac:dyDescent="0.45">
      <c r="B7" s="7">
        <v>1</v>
      </c>
      <c r="C7" s="8" t="s">
        <v>124</v>
      </c>
      <c r="D7" s="8" t="s">
        <v>83</v>
      </c>
      <c r="E7" s="134"/>
      <c r="F7" s="135"/>
      <c r="G7" s="135"/>
      <c r="H7" s="135"/>
      <c r="I7" s="135"/>
      <c r="J7" s="1"/>
      <c r="K7" s="1"/>
      <c r="L7" s="1"/>
      <c r="M7" s="1"/>
    </row>
    <row r="8" spans="2:13" ht="50.15" customHeight="1" x14ac:dyDescent="0.45">
      <c r="B8" s="136">
        <v>2</v>
      </c>
      <c r="C8" s="2" t="s">
        <v>198</v>
      </c>
      <c r="D8" s="2" t="s">
        <v>98</v>
      </c>
      <c r="E8" s="137"/>
      <c r="F8" s="138"/>
      <c r="G8" s="138"/>
      <c r="H8" s="138"/>
      <c r="I8" s="138"/>
      <c r="J8" s="1"/>
      <c r="K8" s="1"/>
      <c r="L8" s="1"/>
      <c r="M8" s="1"/>
    </row>
    <row r="9" spans="2:13" ht="50.15" customHeight="1" x14ac:dyDescent="0.45">
      <c r="B9" s="136"/>
      <c r="C9" s="2" t="s">
        <v>168</v>
      </c>
      <c r="D9" s="2" t="s">
        <v>96</v>
      </c>
      <c r="E9" s="137"/>
      <c r="F9" s="138"/>
      <c r="G9" s="138"/>
      <c r="H9" s="138"/>
      <c r="I9" s="138"/>
      <c r="J9" s="1"/>
      <c r="K9" s="1"/>
      <c r="L9" s="1"/>
      <c r="M9" s="1"/>
    </row>
    <row r="10" spans="2:13" ht="50.15" customHeight="1" x14ac:dyDescent="0.45">
      <c r="B10" s="136"/>
      <c r="C10" s="2" t="s">
        <v>152</v>
      </c>
      <c r="D10" s="2" t="s">
        <v>228</v>
      </c>
      <c r="E10" s="137"/>
      <c r="F10" s="138"/>
      <c r="G10" s="138"/>
      <c r="H10" s="138"/>
      <c r="I10" s="138"/>
      <c r="J10" s="1"/>
      <c r="K10" s="1"/>
      <c r="L10" s="1"/>
      <c r="M10" s="1"/>
    </row>
    <row r="11" spans="2:13" ht="50.15" customHeight="1" x14ac:dyDescent="0.45">
      <c r="B11" s="136">
        <v>3</v>
      </c>
      <c r="C11" s="2" t="s">
        <v>363</v>
      </c>
      <c r="D11" s="2" t="s">
        <v>260</v>
      </c>
      <c r="E11" s="137"/>
      <c r="F11" s="138"/>
      <c r="G11" s="138"/>
      <c r="H11" s="138"/>
      <c r="I11" s="138"/>
      <c r="J11" s="1"/>
      <c r="K11" s="1"/>
      <c r="L11" s="1"/>
      <c r="M11" s="1"/>
    </row>
    <row r="12" spans="2:13" ht="50.15" customHeight="1" x14ac:dyDescent="0.45">
      <c r="B12" s="136"/>
      <c r="C12" s="2" t="s">
        <v>326</v>
      </c>
      <c r="D12" s="2" t="s">
        <v>227</v>
      </c>
      <c r="E12" s="137"/>
      <c r="F12" s="138"/>
      <c r="G12" s="138"/>
      <c r="H12" s="138"/>
      <c r="I12" s="138"/>
      <c r="J12" s="1"/>
      <c r="K12" s="1"/>
      <c r="L12" s="1"/>
      <c r="M12" s="1"/>
    </row>
    <row r="13" spans="2:13" ht="50.15" customHeight="1" x14ac:dyDescent="0.45">
      <c r="B13" s="3">
        <v>4</v>
      </c>
      <c r="C13" s="4" t="s">
        <v>282</v>
      </c>
      <c r="D13" s="4" t="s">
        <v>82</v>
      </c>
      <c r="E13" s="5" t="s">
        <v>263</v>
      </c>
      <c r="F13" s="5"/>
      <c r="G13" s="5"/>
      <c r="H13" s="5"/>
      <c r="I13" s="6"/>
    </row>
  </sheetData>
  <mergeCells count="9">
    <mergeCell ref="B11:B12"/>
    <mergeCell ref="E11:I11"/>
    <mergeCell ref="E12:I12"/>
    <mergeCell ref="E6:I6"/>
    <mergeCell ref="E7:I7"/>
    <mergeCell ref="B8:B10"/>
    <mergeCell ref="E8:I8"/>
    <mergeCell ref="E9:I9"/>
    <mergeCell ref="E10:I10"/>
  </mergeCells>
  <phoneticPr fontId="9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B1:B10"/>
  <sheetViews>
    <sheetView zoomScaleNormal="100" zoomScaleSheetLayoutView="100" workbookViewId="0">
      <selection activeCell="F17" sqref="F17"/>
    </sheetView>
  </sheetViews>
  <sheetFormatPr defaultColWidth="9" defaultRowHeight="25" customHeight="1" x14ac:dyDescent="0.45"/>
  <cols>
    <col min="1" max="16381" width="17.75" customWidth="1"/>
  </cols>
  <sheetData>
    <row r="1" spans="2:2" ht="25" customHeight="1" x14ac:dyDescent="0.45">
      <c r="B1" t="s">
        <v>180</v>
      </c>
    </row>
    <row r="2" spans="2:2" ht="25" customHeight="1" x14ac:dyDescent="0.45">
      <c r="B2" s="12" t="s">
        <v>247</v>
      </c>
    </row>
    <row r="3" spans="2:2" ht="25" customHeight="1" x14ac:dyDescent="0.45">
      <c r="B3" t="s">
        <v>15</v>
      </c>
    </row>
    <row r="4" spans="2:2" ht="25" customHeight="1" x14ac:dyDescent="0.45">
      <c r="B4" t="s">
        <v>103</v>
      </c>
    </row>
    <row r="5" spans="2:2" ht="25" customHeight="1" x14ac:dyDescent="0.45">
      <c r="B5" s="12" t="s">
        <v>235</v>
      </c>
    </row>
    <row r="6" spans="2:2" ht="25" customHeight="1" x14ac:dyDescent="0.45">
      <c r="B6" t="s">
        <v>61</v>
      </c>
    </row>
    <row r="7" spans="2:2" ht="25" customHeight="1" x14ac:dyDescent="0.45">
      <c r="B7" t="s">
        <v>38</v>
      </c>
    </row>
    <row r="8" spans="2:2" ht="25" customHeight="1" x14ac:dyDescent="0.45">
      <c r="B8" s="12" t="s">
        <v>231</v>
      </c>
    </row>
    <row r="9" spans="2:2" ht="25" customHeight="1" x14ac:dyDescent="0.45">
      <c r="B9" t="s">
        <v>266</v>
      </c>
    </row>
    <row r="10" spans="2:2" ht="25" customHeight="1" x14ac:dyDescent="0.45">
      <c r="B10" t="s">
        <v>104</v>
      </c>
    </row>
  </sheetData>
  <phoneticPr fontId="9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B2:I23"/>
  <sheetViews>
    <sheetView zoomScaleNormal="100" zoomScaleSheetLayoutView="100" workbookViewId="0">
      <selection activeCell="C23" sqref="C23:I23"/>
    </sheetView>
  </sheetViews>
  <sheetFormatPr defaultColWidth="15.75" defaultRowHeight="25" customHeight="1" x14ac:dyDescent="0.45"/>
  <cols>
    <col min="1" max="3" width="15.75" customWidth="1"/>
    <col min="4" max="4" width="46.58203125" customWidth="1"/>
    <col min="5" max="5" width="15.75" customWidth="1"/>
  </cols>
  <sheetData>
    <row r="2" spans="2:9" ht="25" customHeight="1" x14ac:dyDescent="0.45">
      <c r="B2" t="s">
        <v>180</v>
      </c>
    </row>
    <row r="3" spans="2:9" ht="25" customHeight="1" x14ac:dyDescent="0.45">
      <c r="B3" s="12" t="s">
        <v>247</v>
      </c>
    </row>
    <row r="4" spans="2:9" ht="25" customHeight="1" x14ac:dyDescent="0.45">
      <c r="B4" t="s">
        <v>70</v>
      </c>
    </row>
    <row r="5" spans="2:9" ht="25" customHeight="1" x14ac:dyDescent="0.45">
      <c r="B5" t="s">
        <v>203</v>
      </c>
    </row>
    <row r="6" spans="2:9" ht="25" customHeight="1" x14ac:dyDescent="0.45">
      <c r="B6" s="12" t="s">
        <v>235</v>
      </c>
    </row>
    <row r="7" spans="2:9" ht="25" customHeight="1" x14ac:dyDescent="0.45">
      <c r="B7" t="s">
        <v>9</v>
      </c>
    </row>
    <row r="8" spans="2:9" ht="25" customHeight="1" x14ac:dyDescent="0.45">
      <c r="B8" t="s">
        <v>400</v>
      </c>
    </row>
    <row r="9" spans="2:9" ht="25" customHeight="1" x14ac:dyDescent="0.45">
      <c r="C9" t="s">
        <v>108</v>
      </c>
    </row>
    <row r="10" spans="2:9" ht="25" customHeight="1" x14ac:dyDescent="0.45">
      <c r="B10" s="12" t="s">
        <v>231</v>
      </c>
    </row>
    <row r="11" spans="2:9" ht="25" customHeight="1" x14ac:dyDescent="0.45">
      <c r="B11" t="s">
        <v>12</v>
      </c>
    </row>
    <row r="12" spans="2:9" ht="25" customHeight="1" x14ac:dyDescent="0.45">
      <c r="B12" t="s">
        <v>195</v>
      </c>
    </row>
    <row r="14" spans="2:9" ht="25" customHeight="1" x14ac:dyDescent="0.45">
      <c r="B14" t="s">
        <v>264</v>
      </c>
    </row>
    <row r="15" spans="2:9" ht="25" customHeight="1" x14ac:dyDescent="0.45">
      <c r="B15" t="s">
        <v>208</v>
      </c>
    </row>
    <row r="16" spans="2:9" ht="25" customHeight="1" x14ac:dyDescent="0.45">
      <c r="B16" s="9" t="s">
        <v>304</v>
      </c>
      <c r="C16" s="10" t="s">
        <v>290</v>
      </c>
      <c r="D16" s="10" t="s">
        <v>1</v>
      </c>
      <c r="E16" s="1" t="s">
        <v>22</v>
      </c>
      <c r="F16" s="1"/>
      <c r="G16" s="1"/>
      <c r="H16" s="1"/>
      <c r="I16" s="133"/>
    </row>
    <row r="17" spans="2:9" ht="25" customHeight="1" x14ac:dyDescent="0.45">
      <c r="B17" s="7">
        <v>1</v>
      </c>
      <c r="C17" s="8" t="s">
        <v>124</v>
      </c>
      <c r="D17" s="8" t="s">
        <v>83</v>
      </c>
      <c r="E17" s="134"/>
      <c r="F17" s="135"/>
      <c r="G17" s="135"/>
      <c r="H17" s="135"/>
      <c r="I17" s="135"/>
    </row>
    <row r="18" spans="2:9" ht="25" customHeight="1" x14ac:dyDescent="0.45">
      <c r="B18" s="136">
        <v>2</v>
      </c>
      <c r="C18" s="2" t="s">
        <v>198</v>
      </c>
      <c r="D18" s="2" t="s">
        <v>98</v>
      </c>
      <c r="E18" s="137"/>
      <c r="F18" s="138"/>
      <c r="G18" s="138"/>
      <c r="H18" s="138"/>
      <c r="I18" s="138"/>
    </row>
    <row r="19" spans="2:9" ht="25" customHeight="1" x14ac:dyDescent="0.45">
      <c r="B19" s="136"/>
      <c r="C19" s="2" t="s">
        <v>168</v>
      </c>
      <c r="D19" s="2" t="s">
        <v>96</v>
      </c>
      <c r="E19" s="137"/>
      <c r="F19" s="138"/>
      <c r="G19" s="138"/>
      <c r="H19" s="138"/>
      <c r="I19" s="138"/>
    </row>
    <row r="20" spans="2:9" ht="25" customHeight="1" x14ac:dyDescent="0.45">
      <c r="B20" s="136"/>
      <c r="C20" s="2" t="s">
        <v>152</v>
      </c>
      <c r="D20" s="2" t="s">
        <v>228</v>
      </c>
      <c r="E20" s="137"/>
      <c r="F20" s="138"/>
      <c r="G20" s="138"/>
      <c r="H20" s="138"/>
      <c r="I20" s="138"/>
    </row>
    <row r="21" spans="2:9" ht="25" customHeight="1" x14ac:dyDescent="0.45">
      <c r="B21" s="136">
        <v>3</v>
      </c>
      <c r="C21" s="2" t="s">
        <v>363</v>
      </c>
      <c r="D21" s="2" t="s">
        <v>260</v>
      </c>
      <c r="E21" s="137"/>
      <c r="F21" s="138"/>
      <c r="G21" s="138"/>
      <c r="H21" s="138"/>
      <c r="I21" s="138"/>
    </row>
    <row r="22" spans="2:9" ht="25" customHeight="1" x14ac:dyDescent="0.45">
      <c r="B22" s="136"/>
      <c r="C22" s="2" t="s">
        <v>326</v>
      </c>
      <c r="D22" s="2" t="s">
        <v>227</v>
      </c>
      <c r="E22" s="137"/>
      <c r="F22" s="138"/>
      <c r="G22" s="138"/>
      <c r="H22" s="138"/>
      <c r="I22" s="138"/>
    </row>
    <row r="23" spans="2:9" ht="25" customHeight="1" x14ac:dyDescent="0.45">
      <c r="B23" s="3">
        <v>4</v>
      </c>
      <c r="C23" s="4" t="s">
        <v>282</v>
      </c>
      <c r="D23" s="4" t="s">
        <v>82</v>
      </c>
      <c r="E23" s="5" t="s">
        <v>263</v>
      </c>
      <c r="F23" s="5"/>
      <c r="G23" s="5"/>
      <c r="H23" s="5"/>
      <c r="I23" s="6"/>
    </row>
  </sheetData>
  <mergeCells count="9">
    <mergeCell ref="B21:B22"/>
    <mergeCell ref="E21:I21"/>
    <mergeCell ref="E22:I22"/>
    <mergeCell ref="E16:I16"/>
    <mergeCell ref="E17:I17"/>
    <mergeCell ref="B18:B20"/>
    <mergeCell ref="E18:I18"/>
    <mergeCell ref="E19:I19"/>
    <mergeCell ref="E20:I20"/>
  </mergeCells>
  <phoneticPr fontId="9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B2:M54"/>
  <sheetViews>
    <sheetView topLeftCell="E37" zoomScale="80" zoomScaleNormal="80" zoomScaleSheetLayoutView="80" workbookViewId="0">
      <selection activeCell="E3" sqref="E3"/>
    </sheetView>
  </sheetViews>
  <sheetFormatPr defaultColWidth="15.75" defaultRowHeight="27" customHeight="1" x14ac:dyDescent="0.45"/>
  <cols>
    <col min="1" max="1" width="15.75" customWidth="1"/>
    <col min="2" max="2" width="21.5" customWidth="1"/>
    <col min="3" max="3" width="36" customWidth="1"/>
    <col min="4" max="4" width="64.5" customWidth="1"/>
    <col min="5" max="6" width="15.75" customWidth="1"/>
    <col min="7" max="7" width="27.08203125" customWidth="1"/>
    <col min="8" max="8" width="88.75" customWidth="1"/>
    <col min="9" max="9" width="15.75" customWidth="1"/>
  </cols>
  <sheetData>
    <row r="2" spans="2:13" ht="27" customHeight="1" x14ac:dyDescent="0.45">
      <c r="B2" s="37" t="s">
        <v>125</v>
      </c>
    </row>
    <row r="3" spans="2:13" ht="27" customHeight="1" x14ac:dyDescent="0.45">
      <c r="B3" t="s">
        <v>11</v>
      </c>
    </row>
    <row r="4" spans="2:13" ht="27" customHeight="1" x14ac:dyDescent="0.45">
      <c r="B4" s="42" t="s">
        <v>186</v>
      </c>
      <c r="C4" s="42"/>
      <c r="D4" s="42"/>
      <c r="F4" s="99" t="s">
        <v>186</v>
      </c>
      <c r="G4" s="43"/>
      <c r="H4" s="43"/>
    </row>
    <row r="5" spans="2:13" ht="27" customHeight="1" x14ac:dyDescent="0.45">
      <c r="B5" s="13" t="s">
        <v>1</v>
      </c>
      <c r="C5" s="13" t="s">
        <v>22</v>
      </c>
      <c r="D5" s="13"/>
      <c r="F5" t="s">
        <v>1</v>
      </c>
      <c r="G5" t="s">
        <v>22</v>
      </c>
    </row>
    <row r="6" spans="2:13" ht="27" customHeight="1" x14ac:dyDescent="0.45">
      <c r="B6" s="38" t="s">
        <v>166</v>
      </c>
      <c r="C6" s="38" t="s">
        <v>211</v>
      </c>
      <c r="D6" s="38"/>
      <c r="F6" s="44" t="s">
        <v>166</v>
      </c>
      <c r="G6" s="51" t="s">
        <v>124</v>
      </c>
      <c r="H6" s="51" t="s">
        <v>83</v>
      </c>
    </row>
    <row r="7" spans="2:13" ht="27" customHeight="1" x14ac:dyDescent="0.45">
      <c r="B7" s="13"/>
      <c r="C7" s="13" t="s">
        <v>258</v>
      </c>
      <c r="D7" s="13"/>
      <c r="G7" s="52" t="s">
        <v>198</v>
      </c>
      <c r="H7" s="52" t="s">
        <v>98</v>
      </c>
    </row>
    <row r="8" spans="2:13" ht="27" customHeight="1" x14ac:dyDescent="0.45">
      <c r="B8" s="13"/>
      <c r="C8" s="13" t="s">
        <v>76</v>
      </c>
      <c r="D8" s="13"/>
      <c r="G8" s="52" t="s">
        <v>168</v>
      </c>
      <c r="H8" s="52" t="s">
        <v>164</v>
      </c>
    </row>
    <row r="9" spans="2:13" ht="27" customHeight="1" x14ac:dyDescent="0.45">
      <c r="B9" s="13"/>
      <c r="C9" s="13" t="s">
        <v>256</v>
      </c>
      <c r="D9" s="13"/>
      <c r="G9" s="52" t="s">
        <v>315</v>
      </c>
      <c r="H9" s="52" t="s">
        <v>219</v>
      </c>
    </row>
    <row r="10" spans="2:13" ht="27" customHeight="1" x14ac:dyDescent="0.45">
      <c r="B10" s="39"/>
      <c r="C10" s="39" t="s">
        <v>261</v>
      </c>
      <c r="D10" s="39"/>
      <c r="F10" s="45"/>
      <c r="G10" s="53" t="s">
        <v>282</v>
      </c>
      <c r="H10" s="53" t="s">
        <v>82</v>
      </c>
      <c r="I10" s="5"/>
      <c r="J10" s="5"/>
      <c r="K10" s="5"/>
      <c r="L10" s="5"/>
      <c r="M10" s="6"/>
    </row>
    <row r="11" spans="2:13" ht="27" customHeight="1" x14ac:dyDescent="0.45">
      <c r="B11" s="38" t="s">
        <v>361</v>
      </c>
      <c r="C11" s="38" t="s">
        <v>29</v>
      </c>
      <c r="D11" s="38"/>
      <c r="F11" s="44" t="s">
        <v>361</v>
      </c>
      <c r="G11" s="47" t="s">
        <v>200</v>
      </c>
      <c r="H11" s="47"/>
    </row>
    <row r="12" spans="2:13" ht="27" customHeight="1" x14ac:dyDescent="0.45">
      <c r="B12" s="13"/>
      <c r="C12" s="13" t="s">
        <v>267</v>
      </c>
      <c r="D12" s="13"/>
      <c r="G12" s="48" t="s">
        <v>278</v>
      </c>
      <c r="H12" s="48"/>
    </row>
    <row r="13" spans="2:13" ht="27" customHeight="1" x14ac:dyDescent="0.45">
      <c r="B13" s="39"/>
      <c r="C13" s="39" t="s">
        <v>243</v>
      </c>
      <c r="D13" s="39"/>
      <c r="F13" s="45"/>
      <c r="G13" s="49" t="s">
        <v>210</v>
      </c>
      <c r="H13" s="49"/>
    </row>
    <row r="14" spans="2:13" ht="27" customHeight="1" x14ac:dyDescent="0.45">
      <c r="B14" s="38" t="s">
        <v>335</v>
      </c>
      <c r="C14" s="38" t="s">
        <v>193</v>
      </c>
      <c r="D14" s="38"/>
      <c r="F14" s="44" t="s">
        <v>335</v>
      </c>
      <c r="G14" s="47" t="s">
        <v>271</v>
      </c>
      <c r="H14" s="47"/>
    </row>
    <row r="15" spans="2:13" ht="27" customHeight="1" x14ac:dyDescent="0.45">
      <c r="B15" s="13"/>
      <c r="C15" s="13" t="s">
        <v>6</v>
      </c>
      <c r="D15" s="13"/>
      <c r="G15" s="48" t="s">
        <v>102</v>
      </c>
      <c r="H15" s="48"/>
    </row>
    <row r="16" spans="2:13" ht="27" customHeight="1" x14ac:dyDescent="0.45">
      <c r="B16" s="39"/>
      <c r="C16" s="39" t="s">
        <v>4</v>
      </c>
      <c r="D16" s="39"/>
      <c r="F16" s="45"/>
      <c r="G16" s="49" t="s">
        <v>196</v>
      </c>
      <c r="H16" s="49"/>
    </row>
    <row r="17" spans="2:8" ht="27" customHeight="1" x14ac:dyDescent="0.45">
      <c r="B17" s="13" t="s">
        <v>355</v>
      </c>
      <c r="C17" s="13" t="s">
        <v>42</v>
      </c>
      <c r="D17" s="13"/>
      <c r="F17" t="s">
        <v>355</v>
      </c>
      <c r="G17" s="48" t="s">
        <v>273</v>
      </c>
      <c r="H17" s="48"/>
    </row>
    <row r="18" spans="2:8" ht="27" customHeight="1" x14ac:dyDescent="0.45">
      <c r="B18" s="13" t="s">
        <v>77</v>
      </c>
      <c r="C18" s="13" t="s">
        <v>59</v>
      </c>
      <c r="D18" s="13"/>
      <c r="F18" t="s">
        <v>77</v>
      </c>
      <c r="G18" s="48" t="s">
        <v>191</v>
      </c>
      <c r="H18" s="48"/>
    </row>
    <row r="19" spans="2:8" ht="27" customHeight="1" x14ac:dyDescent="0.45">
      <c r="B19" s="14"/>
      <c r="C19" s="14" t="s">
        <v>10</v>
      </c>
      <c r="D19" s="14"/>
      <c r="F19" s="15"/>
      <c r="G19" s="50" t="s">
        <v>204</v>
      </c>
      <c r="H19" s="50"/>
    </row>
    <row r="21" spans="2:8" ht="27" customHeight="1" x14ac:dyDescent="0.45">
      <c r="B21" s="42" t="s">
        <v>172</v>
      </c>
      <c r="C21" s="42"/>
      <c r="D21" s="42"/>
      <c r="F21" s="99" t="s">
        <v>172</v>
      </c>
      <c r="G21" s="43"/>
      <c r="H21" s="43"/>
    </row>
    <row r="22" spans="2:8" ht="27" customHeight="1" x14ac:dyDescent="0.45">
      <c r="B22" s="40" t="s">
        <v>300</v>
      </c>
      <c r="C22" s="40" t="s">
        <v>30</v>
      </c>
      <c r="D22" s="40"/>
      <c r="F22" s="41" t="s">
        <v>300</v>
      </c>
      <c r="G22" s="46" t="s">
        <v>17</v>
      </c>
      <c r="H22" s="46"/>
    </row>
    <row r="23" spans="2:8" ht="27" customHeight="1" x14ac:dyDescent="0.45">
      <c r="B23" s="38" t="s">
        <v>296</v>
      </c>
      <c r="C23" s="38" t="s">
        <v>259</v>
      </c>
      <c r="D23" s="38"/>
      <c r="F23" s="44" t="s">
        <v>296</v>
      </c>
      <c r="G23" s="47" t="s">
        <v>244</v>
      </c>
      <c r="H23" s="47"/>
    </row>
    <row r="24" spans="2:8" ht="27" customHeight="1" x14ac:dyDescent="0.45">
      <c r="B24" s="13"/>
      <c r="C24" s="13" t="s">
        <v>253</v>
      </c>
      <c r="D24" s="13"/>
      <c r="G24" s="48" t="s">
        <v>176</v>
      </c>
      <c r="H24" s="48"/>
    </row>
    <row r="25" spans="2:8" ht="27" customHeight="1" x14ac:dyDescent="0.45">
      <c r="B25" s="13"/>
      <c r="C25" s="13" t="s">
        <v>242</v>
      </c>
      <c r="D25" s="13"/>
      <c r="G25" s="48" t="s">
        <v>226</v>
      </c>
      <c r="H25" s="48"/>
    </row>
    <row r="26" spans="2:8" ht="27" customHeight="1" x14ac:dyDescent="0.45">
      <c r="B26" s="39"/>
      <c r="C26" s="39" t="s">
        <v>269</v>
      </c>
      <c r="D26" s="39"/>
      <c r="F26" s="45"/>
      <c r="G26" s="49" t="s">
        <v>265</v>
      </c>
      <c r="H26" s="49"/>
    </row>
    <row r="27" spans="2:8" ht="27" customHeight="1" x14ac:dyDescent="0.45">
      <c r="B27" s="13" t="s">
        <v>338</v>
      </c>
      <c r="C27" s="13" t="s">
        <v>95</v>
      </c>
      <c r="D27" s="13"/>
      <c r="F27" t="s">
        <v>338</v>
      </c>
      <c r="G27" s="48" t="s">
        <v>95</v>
      </c>
      <c r="H27" s="48"/>
    </row>
    <row r="28" spans="2:8" ht="27" customHeight="1" x14ac:dyDescent="0.45">
      <c r="B28" s="13"/>
      <c r="C28" s="13" t="s">
        <v>233</v>
      </c>
      <c r="D28" s="13"/>
      <c r="G28" s="48" t="s">
        <v>233</v>
      </c>
      <c r="H28" s="48"/>
    </row>
    <row r="29" spans="2:8" ht="27" customHeight="1" x14ac:dyDescent="0.45">
      <c r="B29" s="13"/>
      <c r="C29" s="13" t="s">
        <v>249</v>
      </c>
      <c r="D29" s="13"/>
      <c r="G29" s="48" t="s">
        <v>249</v>
      </c>
      <c r="H29" s="48"/>
    </row>
    <row r="30" spans="2:8" ht="27" customHeight="1" x14ac:dyDescent="0.45">
      <c r="B30" s="14"/>
      <c r="C30" s="14" t="s">
        <v>205</v>
      </c>
      <c r="D30" s="14"/>
      <c r="F30" s="15"/>
      <c r="G30" s="50" t="s">
        <v>240</v>
      </c>
      <c r="H30" s="50"/>
    </row>
    <row r="32" spans="2:8" ht="27" customHeight="1" x14ac:dyDescent="0.45">
      <c r="B32" s="42" t="s">
        <v>54</v>
      </c>
      <c r="C32" s="42"/>
      <c r="D32" s="42"/>
      <c r="F32" s="99" t="s">
        <v>54</v>
      </c>
      <c r="G32" s="43"/>
      <c r="H32" s="43"/>
    </row>
    <row r="33" spans="2:8" ht="27" customHeight="1" x14ac:dyDescent="0.45">
      <c r="B33" s="38" t="s">
        <v>52</v>
      </c>
      <c r="C33" s="38" t="s">
        <v>248</v>
      </c>
      <c r="D33" s="38"/>
      <c r="F33" s="44" t="s">
        <v>52</v>
      </c>
      <c r="G33" s="47" t="s">
        <v>248</v>
      </c>
      <c r="H33" s="47"/>
    </row>
    <row r="34" spans="2:8" ht="27" customHeight="1" x14ac:dyDescent="0.45">
      <c r="B34" s="13"/>
      <c r="C34" s="13" t="s">
        <v>94</v>
      </c>
      <c r="D34" s="13"/>
      <c r="G34" s="48" t="s">
        <v>209</v>
      </c>
      <c r="H34" s="48"/>
    </row>
    <row r="35" spans="2:8" ht="27" customHeight="1" x14ac:dyDescent="0.45">
      <c r="B35" s="13"/>
      <c r="C35" s="13" t="s">
        <v>229</v>
      </c>
      <c r="D35" s="13"/>
      <c r="G35" s="48" t="s">
        <v>229</v>
      </c>
      <c r="H35" s="48"/>
    </row>
    <row r="36" spans="2:8" ht="27" customHeight="1" x14ac:dyDescent="0.45">
      <c r="B36" s="39"/>
      <c r="C36" s="39" t="s">
        <v>241</v>
      </c>
      <c r="D36" s="39"/>
      <c r="F36" s="45"/>
      <c r="G36" s="49" t="s">
        <v>241</v>
      </c>
      <c r="H36" s="49"/>
    </row>
    <row r="37" spans="2:8" ht="27" customHeight="1" x14ac:dyDescent="0.45">
      <c r="B37" s="38" t="s">
        <v>131</v>
      </c>
      <c r="C37" s="38" t="s">
        <v>214</v>
      </c>
      <c r="D37" s="38"/>
      <c r="F37" s="44" t="s">
        <v>131</v>
      </c>
      <c r="G37" s="47" t="s">
        <v>214</v>
      </c>
      <c r="H37" s="47"/>
    </row>
    <row r="38" spans="2:8" ht="27" customHeight="1" x14ac:dyDescent="0.45">
      <c r="B38" s="13"/>
      <c r="C38" s="13" t="s">
        <v>90</v>
      </c>
      <c r="D38" s="13"/>
      <c r="G38" s="48" t="s">
        <v>90</v>
      </c>
      <c r="H38" s="48"/>
    </row>
    <row r="39" spans="2:8" ht="27" customHeight="1" x14ac:dyDescent="0.45">
      <c r="B39" s="13"/>
      <c r="C39" s="13" t="s">
        <v>262</v>
      </c>
      <c r="D39" s="13"/>
      <c r="G39" s="48" t="s">
        <v>262</v>
      </c>
      <c r="H39" s="48"/>
    </row>
    <row r="40" spans="2:8" ht="27" customHeight="1" x14ac:dyDescent="0.45">
      <c r="B40" s="39" t="s">
        <v>369</v>
      </c>
      <c r="C40" s="39" t="s">
        <v>35</v>
      </c>
      <c r="D40" s="39"/>
      <c r="F40" s="45" t="s">
        <v>369</v>
      </c>
      <c r="G40" s="49" t="s">
        <v>0</v>
      </c>
      <c r="H40" s="49"/>
    </row>
    <row r="41" spans="2:8" ht="27" customHeight="1" x14ac:dyDescent="0.45">
      <c r="B41" s="13" t="s">
        <v>80</v>
      </c>
      <c r="C41" s="13" t="s">
        <v>92</v>
      </c>
      <c r="D41" s="13"/>
      <c r="F41" t="s">
        <v>80</v>
      </c>
      <c r="G41" s="48" t="s">
        <v>92</v>
      </c>
      <c r="H41" s="48"/>
    </row>
    <row r="42" spans="2:8" ht="27" customHeight="1" x14ac:dyDescent="0.45">
      <c r="B42" s="13"/>
      <c r="C42" s="13" t="s">
        <v>13</v>
      </c>
      <c r="D42" s="13"/>
      <c r="G42" s="48" t="s">
        <v>13</v>
      </c>
      <c r="H42" s="48"/>
    </row>
    <row r="43" spans="2:8" ht="27" customHeight="1" x14ac:dyDescent="0.45">
      <c r="B43" s="14"/>
      <c r="C43" s="14" t="s">
        <v>224</v>
      </c>
      <c r="D43" s="14"/>
      <c r="F43" s="15"/>
      <c r="G43" s="50" t="s">
        <v>224</v>
      </c>
      <c r="H43" s="50"/>
    </row>
    <row r="45" spans="2:8" ht="27" customHeight="1" x14ac:dyDescent="0.45">
      <c r="B45" s="42" t="s">
        <v>181</v>
      </c>
      <c r="C45" s="42"/>
      <c r="D45" s="42"/>
      <c r="F45" s="99" t="s">
        <v>181</v>
      </c>
      <c r="G45" s="43"/>
      <c r="H45" s="43"/>
    </row>
    <row r="46" spans="2:8" ht="27" customHeight="1" x14ac:dyDescent="0.45">
      <c r="B46" s="40" t="s">
        <v>342</v>
      </c>
      <c r="C46" s="40" t="s">
        <v>8</v>
      </c>
      <c r="D46" s="40"/>
      <c r="F46" s="41" t="s">
        <v>342</v>
      </c>
      <c r="G46" s="54" t="s">
        <v>8</v>
      </c>
      <c r="H46" s="54"/>
    </row>
    <row r="47" spans="2:8" ht="27" customHeight="1" x14ac:dyDescent="0.45">
      <c r="B47" s="40" t="s">
        <v>371</v>
      </c>
      <c r="C47" s="41" t="s">
        <v>64</v>
      </c>
      <c r="D47" s="41"/>
      <c r="F47" s="41" t="s">
        <v>371</v>
      </c>
      <c r="G47" s="54" t="s">
        <v>64</v>
      </c>
      <c r="H47" s="54"/>
    </row>
    <row r="48" spans="2:8" ht="27" customHeight="1" x14ac:dyDescent="0.45">
      <c r="B48" s="14" t="s">
        <v>129</v>
      </c>
      <c r="C48" s="15" t="s">
        <v>277</v>
      </c>
      <c r="D48" s="15"/>
      <c r="F48" s="15" t="s">
        <v>129</v>
      </c>
      <c r="G48" s="50" t="s">
        <v>277</v>
      </c>
      <c r="H48" s="50"/>
    </row>
    <row r="50" spans="2:8" ht="27" customHeight="1" x14ac:dyDescent="0.45">
      <c r="B50" s="42" t="s">
        <v>47</v>
      </c>
      <c r="C50" s="42"/>
      <c r="D50" s="42"/>
      <c r="F50" s="99" t="s">
        <v>47</v>
      </c>
      <c r="G50" s="43"/>
      <c r="H50" s="43"/>
    </row>
    <row r="51" spans="2:8" ht="27" customHeight="1" x14ac:dyDescent="0.45">
      <c r="B51" s="40" t="s">
        <v>150</v>
      </c>
      <c r="C51" s="41" t="s">
        <v>67</v>
      </c>
      <c r="D51" s="41"/>
      <c r="F51" s="41" t="s">
        <v>150</v>
      </c>
      <c r="G51" s="54" t="s">
        <v>67</v>
      </c>
      <c r="H51" s="54"/>
    </row>
    <row r="52" spans="2:8" ht="27" customHeight="1" x14ac:dyDescent="0.45">
      <c r="B52" t="s">
        <v>332</v>
      </c>
      <c r="C52" t="s">
        <v>212</v>
      </c>
      <c r="F52" t="s">
        <v>332</v>
      </c>
      <c r="G52" s="48" t="s">
        <v>212</v>
      </c>
      <c r="H52" s="48"/>
    </row>
    <row r="53" spans="2:8" ht="27" customHeight="1" x14ac:dyDescent="0.45">
      <c r="B53" s="13"/>
      <c r="C53" t="s">
        <v>276</v>
      </c>
      <c r="G53" s="48" t="s">
        <v>276</v>
      </c>
      <c r="H53" s="48"/>
    </row>
    <row r="54" spans="2:8" ht="27" customHeight="1" x14ac:dyDescent="0.45">
      <c r="B54" s="14"/>
      <c r="C54" s="15" t="s">
        <v>14</v>
      </c>
      <c r="D54" s="15"/>
      <c r="F54" s="15"/>
      <c r="G54" s="50" t="s">
        <v>14</v>
      </c>
      <c r="H54" s="50"/>
    </row>
  </sheetData>
  <phoneticPr fontId="9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2:G29"/>
  <sheetViews>
    <sheetView topLeftCell="A10" zoomScale="80" zoomScaleNormal="80" zoomScaleSheetLayoutView="80" workbookViewId="0">
      <selection activeCell="G41" sqref="G41"/>
    </sheetView>
  </sheetViews>
  <sheetFormatPr defaultColWidth="15.75" defaultRowHeight="27" customHeight="1" x14ac:dyDescent="0.45"/>
  <cols>
    <col min="1" max="2" width="15.75" customWidth="1"/>
    <col min="3" max="3" width="36" customWidth="1"/>
    <col min="4" max="4" width="64.5" customWidth="1"/>
    <col min="5" max="6" width="15.75" customWidth="1"/>
    <col min="7" max="7" width="27.08203125" customWidth="1"/>
    <col min="8" max="8" width="15.75" customWidth="1"/>
  </cols>
  <sheetData>
    <row r="2" spans="1:7" ht="27" customHeight="1" x14ac:dyDescent="0.45">
      <c r="A2" t="s">
        <v>189</v>
      </c>
    </row>
    <row r="3" spans="1:7" ht="27" customHeight="1" x14ac:dyDescent="0.45">
      <c r="A3" t="s">
        <v>121</v>
      </c>
    </row>
    <row r="4" spans="1:7" ht="27" customHeight="1" x14ac:dyDescent="0.45">
      <c r="B4" s="18" t="s">
        <v>346</v>
      </c>
      <c r="C4" s="18" t="s">
        <v>356</v>
      </c>
      <c r="D4" s="18" t="s">
        <v>344</v>
      </c>
      <c r="E4" s="18"/>
      <c r="F4" s="18"/>
      <c r="G4" s="18" t="s">
        <v>328</v>
      </c>
    </row>
    <row r="5" spans="1:7" ht="27" customHeight="1" x14ac:dyDescent="0.45">
      <c r="B5" s="19" t="s">
        <v>148</v>
      </c>
      <c r="C5" s="19" t="s">
        <v>177</v>
      </c>
      <c r="D5" s="13" t="s">
        <v>112</v>
      </c>
      <c r="E5" s="13"/>
      <c r="F5" s="13"/>
      <c r="G5" s="19" t="s">
        <v>81</v>
      </c>
    </row>
    <row r="6" spans="1:7" ht="27" customHeight="1" x14ac:dyDescent="0.45">
      <c r="B6" s="19" t="s">
        <v>127</v>
      </c>
      <c r="C6" s="1" t="s">
        <v>225</v>
      </c>
      <c r="D6" s="13" t="s">
        <v>24</v>
      </c>
      <c r="E6" s="13"/>
      <c r="F6" s="13"/>
      <c r="G6" s="19" t="s">
        <v>136</v>
      </c>
    </row>
    <row r="7" spans="1:7" ht="27" customHeight="1" x14ac:dyDescent="0.45">
      <c r="B7" s="19" t="s">
        <v>333</v>
      </c>
      <c r="C7" s="19" t="s">
        <v>237</v>
      </c>
      <c r="D7" s="13" t="s">
        <v>106</v>
      </c>
      <c r="E7" s="13"/>
      <c r="F7" s="13"/>
      <c r="G7" s="19" t="s">
        <v>280</v>
      </c>
    </row>
    <row r="8" spans="1:7" ht="27" customHeight="1" x14ac:dyDescent="0.45">
      <c r="B8" s="19" t="s">
        <v>349</v>
      </c>
      <c r="C8" s="19" t="s">
        <v>86</v>
      </c>
      <c r="D8" s="13" t="s">
        <v>111</v>
      </c>
      <c r="E8" s="13"/>
      <c r="F8" s="13"/>
      <c r="G8" s="19" t="s">
        <v>171</v>
      </c>
    </row>
    <row r="9" spans="1:7" ht="27" customHeight="1" x14ac:dyDescent="0.45">
      <c r="B9" s="20" t="s">
        <v>377</v>
      </c>
      <c r="C9" s="20" t="s">
        <v>230</v>
      </c>
      <c r="D9" s="15" t="s">
        <v>279</v>
      </c>
      <c r="E9" s="14"/>
      <c r="F9" s="14"/>
      <c r="G9" s="20" t="s">
        <v>362</v>
      </c>
    </row>
    <row r="10" spans="1:7" ht="27" customHeight="1" x14ac:dyDescent="0.45">
      <c r="B10" s="21" t="s">
        <v>148</v>
      </c>
      <c r="C10" s="18" t="s">
        <v>223</v>
      </c>
      <c r="D10" s="17" t="s">
        <v>24</v>
      </c>
      <c r="E10" s="16"/>
      <c r="F10" s="16"/>
      <c r="G10" s="18" t="s">
        <v>171</v>
      </c>
    </row>
    <row r="11" spans="1:7" ht="27" customHeight="1" x14ac:dyDescent="0.45">
      <c r="B11" s="1" t="s">
        <v>134</v>
      </c>
      <c r="C11" s="19" t="s">
        <v>257</v>
      </c>
      <c r="D11" s="13" t="s">
        <v>79</v>
      </c>
      <c r="E11" s="13"/>
      <c r="F11" s="13"/>
      <c r="G11" s="19"/>
    </row>
    <row r="12" spans="1:7" ht="27" customHeight="1" x14ac:dyDescent="0.45">
      <c r="B12" s="1" t="s">
        <v>137</v>
      </c>
      <c r="C12" s="19" t="s">
        <v>91</v>
      </c>
      <c r="D12" s="13" t="s">
        <v>33</v>
      </c>
      <c r="E12" s="13"/>
      <c r="F12" s="13"/>
      <c r="G12" s="19" t="s">
        <v>336</v>
      </c>
    </row>
    <row r="13" spans="1:7" ht="27" customHeight="1" x14ac:dyDescent="0.45">
      <c r="B13" s="1" t="s">
        <v>372</v>
      </c>
      <c r="C13" s="19" t="s">
        <v>85</v>
      </c>
      <c r="D13" s="13" t="s">
        <v>105</v>
      </c>
      <c r="E13" s="13"/>
      <c r="F13" s="13"/>
      <c r="G13" s="19" t="s">
        <v>340</v>
      </c>
    </row>
    <row r="14" spans="1:7" ht="27" customHeight="1" x14ac:dyDescent="0.45">
      <c r="B14" s="22" t="s">
        <v>123</v>
      </c>
      <c r="C14" s="20" t="s">
        <v>89</v>
      </c>
      <c r="D14" s="14" t="s">
        <v>268</v>
      </c>
      <c r="E14" s="14"/>
      <c r="F14" s="14"/>
      <c r="G14" s="20" t="s">
        <v>292</v>
      </c>
    </row>
    <row r="17" spans="1:7" ht="27" customHeight="1" x14ac:dyDescent="0.45">
      <c r="A17" t="s">
        <v>189</v>
      </c>
    </row>
    <row r="18" spans="1:7" ht="27" customHeight="1" x14ac:dyDescent="0.45">
      <c r="A18" t="s">
        <v>120</v>
      </c>
    </row>
    <row r="19" spans="1:7" ht="27" customHeight="1" x14ac:dyDescent="0.45">
      <c r="B19" s="21" t="s">
        <v>346</v>
      </c>
      <c r="C19" s="21" t="s">
        <v>356</v>
      </c>
      <c r="D19" s="21" t="s">
        <v>344</v>
      </c>
      <c r="E19" s="21"/>
      <c r="F19" s="21"/>
      <c r="G19" s="21" t="s">
        <v>328</v>
      </c>
    </row>
    <row r="20" spans="1:7" ht="27" customHeight="1" x14ac:dyDescent="0.45">
      <c r="B20" s="1" t="s">
        <v>148</v>
      </c>
      <c r="C20" s="1" t="s">
        <v>177</v>
      </c>
      <c r="D20" t="s">
        <v>154</v>
      </c>
      <c r="G20" s="1" t="s">
        <v>81</v>
      </c>
    </row>
    <row r="21" spans="1:7" ht="27" customHeight="1" x14ac:dyDescent="0.45">
      <c r="B21" s="1" t="s">
        <v>127</v>
      </c>
      <c r="C21" s="1" t="s">
        <v>221</v>
      </c>
      <c r="D21" t="s">
        <v>43</v>
      </c>
      <c r="F21" t="s">
        <v>126</v>
      </c>
      <c r="G21" s="1" t="s">
        <v>136</v>
      </c>
    </row>
    <row r="22" spans="1:7" ht="27" customHeight="1" x14ac:dyDescent="0.45">
      <c r="B22" s="1" t="s">
        <v>333</v>
      </c>
      <c r="C22" s="1" t="s">
        <v>207</v>
      </c>
      <c r="D22" t="s">
        <v>41</v>
      </c>
      <c r="G22" s="1" t="s">
        <v>280</v>
      </c>
    </row>
    <row r="23" spans="1:7" ht="27" customHeight="1" x14ac:dyDescent="0.45">
      <c r="B23" s="1" t="s">
        <v>349</v>
      </c>
      <c r="C23" s="1" t="s">
        <v>86</v>
      </c>
      <c r="D23" t="s">
        <v>100</v>
      </c>
      <c r="G23" s="1" t="s">
        <v>171</v>
      </c>
    </row>
    <row r="24" spans="1:7" ht="27" customHeight="1" x14ac:dyDescent="0.45">
      <c r="B24" s="22" t="s">
        <v>377</v>
      </c>
      <c r="C24" s="22" t="s">
        <v>230</v>
      </c>
      <c r="D24" s="15" t="s">
        <v>44</v>
      </c>
      <c r="E24" s="15"/>
      <c r="F24" s="15"/>
      <c r="G24" s="22" t="s">
        <v>362</v>
      </c>
    </row>
    <row r="25" spans="1:7" ht="27" customHeight="1" x14ac:dyDescent="0.45">
      <c r="B25" s="21" t="s">
        <v>148</v>
      </c>
      <c r="C25" s="21" t="s">
        <v>223</v>
      </c>
      <c r="D25" s="17" t="s">
        <v>313</v>
      </c>
      <c r="E25" s="17"/>
      <c r="F25" s="17"/>
      <c r="G25" s="21" t="s">
        <v>171</v>
      </c>
    </row>
    <row r="26" spans="1:7" ht="27" customHeight="1" x14ac:dyDescent="0.45">
      <c r="B26" s="1" t="s">
        <v>134</v>
      </c>
      <c r="C26" s="1" t="s">
        <v>257</v>
      </c>
      <c r="G26" s="1"/>
    </row>
    <row r="27" spans="1:7" ht="27" customHeight="1" x14ac:dyDescent="0.45">
      <c r="B27" s="1" t="s">
        <v>137</v>
      </c>
      <c r="C27" s="1" t="s">
        <v>91</v>
      </c>
      <c r="G27" s="1" t="s">
        <v>336</v>
      </c>
    </row>
    <row r="28" spans="1:7" ht="27" customHeight="1" x14ac:dyDescent="0.45">
      <c r="B28" s="1" t="s">
        <v>372</v>
      </c>
      <c r="C28" s="1" t="s">
        <v>85</v>
      </c>
      <c r="G28" s="1" t="s">
        <v>340</v>
      </c>
    </row>
    <row r="29" spans="1:7" ht="27" customHeight="1" x14ac:dyDescent="0.45">
      <c r="B29" s="22" t="s">
        <v>123</v>
      </c>
      <c r="C29" s="22" t="s">
        <v>89</v>
      </c>
      <c r="D29" s="15"/>
      <c r="E29" s="15"/>
      <c r="F29" s="15"/>
      <c r="G29" s="22" t="s">
        <v>292</v>
      </c>
    </row>
  </sheetData>
  <phoneticPr fontId="9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2:Y30"/>
  <sheetViews>
    <sheetView tabSelected="1" topLeftCell="B1" zoomScale="70" zoomScaleNormal="70" zoomScaleSheetLayoutView="70" workbookViewId="0">
      <selection activeCell="G7" sqref="G7"/>
    </sheetView>
  </sheetViews>
  <sheetFormatPr defaultColWidth="15.75" defaultRowHeight="35" customHeight="1" x14ac:dyDescent="0.45"/>
  <cols>
    <col min="1" max="1" width="0" hidden="1" customWidth="1"/>
    <col min="2" max="2" width="15.75" customWidth="1"/>
    <col min="3" max="3" width="23.25" customWidth="1"/>
    <col min="4" max="4" width="23.33203125" customWidth="1"/>
    <col min="5" max="5" width="21" customWidth="1"/>
    <col min="6" max="6" width="19.33203125" customWidth="1"/>
    <col min="7" max="7" width="20.83203125" customWidth="1"/>
    <col min="8" max="8" width="9.5" customWidth="1"/>
    <col min="9" max="9" width="5.33203125" customWidth="1"/>
    <col min="10" max="10" width="27" customWidth="1"/>
    <col min="11" max="12" width="15.33203125" customWidth="1"/>
    <col min="13" max="13" width="20.58203125" customWidth="1"/>
    <col min="14" max="16" width="15.75" customWidth="1"/>
    <col min="17" max="17" width="17.5" customWidth="1"/>
    <col min="18" max="21" width="15.75" customWidth="1"/>
    <col min="22" max="22" width="29.75" customWidth="1"/>
    <col min="23" max="23" width="60" customWidth="1"/>
    <col min="24" max="25" width="0" hidden="1" customWidth="1"/>
    <col min="26" max="26" width="15.75" customWidth="1"/>
  </cols>
  <sheetData>
    <row r="2" spans="1:25" ht="35" customHeight="1" x14ac:dyDescent="0.45">
      <c r="A2" t="s">
        <v>189</v>
      </c>
    </row>
    <row r="3" spans="1:25" ht="35" customHeight="1" x14ac:dyDescent="0.45">
      <c r="B3" s="19" t="s">
        <v>179</v>
      </c>
      <c r="C3" s="19"/>
      <c r="D3" s="19"/>
      <c r="E3" s="19"/>
      <c r="F3" s="19"/>
      <c r="G3" s="19"/>
    </row>
    <row r="4" spans="1:25" ht="35" customHeight="1" x14ac:dyDescent="0.45">
      <c r="B4" s="139" t="s">
        <v>304</v>
      </c>
      <c r="C4" s="30" t="s">
        <v>364</v>
      </c>
      <c r="D4" s="30" t="s">
        <v>359</v>
      </c>
      <c r="E4" s="141" t="s">
        <v>287</v>
      </c>
      <c r="F4" s="30" t="s">
        <v>294</v>
      </c>
      <c r="G4" s="30" t="s">
        <v>295</v>
      </c>
      <c r="H4" s="143" t="s">
        <v>309</v>
      </c>
      <c r="J4" s="145" t="s">
        <v>142</v>
      </c>
      <c r="K4" s="147" t="s">
        <v>286</v>
      </c>
      <c r="L4" s="147" t="s">
        <v>288</v>
      </c>
      <c r="M4" s="147" t="s">
        <v>294</v>
      </c>
      <c r="N4" s="147" t="s">
        <v>287</v>
      </c>
      <c r="O4" s="147" t="s">
        <v>295</v>
      </c>
      <c r="P4" s="32" t="s">
        <v>368</v>
      </c>
      <c r="Q4" s="32" t="s">
        <v>329</v>
      </c>
      <c r="R4" s="149" t="s">
        <v>302</v>
      </c>
      <c r="S4" s="147"/>
      <c r="T4" s="147"/>
      <c r="U4" s="147"/>
      <c r="V4" s="147"/>
      <c r="W4" s="147"/>
      <c r="X4" s="147"/>
      <c r="Y4" s="150"/>
    </row>
    <row r="5" spans="1:25" ht="35" customHeight="1" x14ac:dyDescent="0.45">
      <c r="B5" s="140"/>
      <c r="C5" s="31" t="s">
        <v>119</v>
      </c>
      <c r="D5" s="31" t="s">
        <v>141</v>
      </c>
      <c r="E5" s="142"/>
      <c r="F5" s="31" t="s">
        <v>178</v>
      </c>
      <c r="G5" s="31" t="s">
        <v>160</v>
      </c>
      <c r="H5" s="144"/>
      <c r="J5" s="146"/>
      <c r="K5" s="148"/>
      <c r="L5" s="148"/>
      <c r="M5" s="148"/>
      <c r="N5" s="148"/>
      <c r="O5" s="148"/>
      <c r="P5" s="33"/>
      <c r="Q5" s="33"/>
      <c r="R5" s="148"/>
      <c r="S5" s="148"/>
      <c r="T5" s="148"/>
      <c r="U5" s="148"/>
      <c r="V5" s="148"/>
      <c r="W5" s="148"/>
      <c r="X5" s="148"/>
      <c r="Y5" s="151"/>
    </row>
    <row r="6" spans="1:25" ht="35" customHeight="1" x14ac:dyDescent="0.45">
      <c r="B6" s="28">
        <v>1</v>
      </c>
      <c r="C6" s="29" t="s">
        <v>366</v>
      </c>
      <c r="D6" s="24" t="s">
        <v>358</v>
      </c>
      <c r="E6" s="24" t="s">
        <v>327</v>
      </c>
      <c r="F6" s="24" t="s">
        <v>93</v>
      </c>
      <c r="G6" s="24" t="s">
        <v>145</v>
      </c>
      <c r="H6" s="25"/>
      <c r="J6" s="34" t="s">
        <v>220</v>
      </c>
      <c r="K6" s="35" t="s">
        <v>366</v>
      </c>
      <c r="L6" s="35" t="s">
        <v>358</v>
      </c>
      <c r="M6" s="35" t="s">
        <v>93</v>
      </c>
      <c r="N6" s="35" t="s">
        <v>327</v>
      </c>
      <c r="O6" s="35" t="s">
        <v>118</v>
      </c>
      <c r="P6" s="36" t="str">
        <f>IF(N6="","x","o")</f>
        <v>o</v>
      </c>
      <c r="Q6" s="36" t="str">
        <f>IF(O6="","x","o")</f>
        <v>o</v>
      </c>
      <c r="R6" s="152" t="str">
        <f>J6&amp;IF(ISERR(FIND("?",J6)),"?","&amp;")&amp;"&amp;utm_source="&amp;K6&amp;"&amp;utm_midiume="&amp;L6&amp;"&amp;beauty_campaign="&amp;M6&amp;IF(P6="o","&amp;utm_term="&amp;N6,"")&amp;IF(Q6="o","&amp;utm_term="&amp;O6,"")</f>
        <v>https://sagejin99.cafe24.com/?&amp;utm_source=naver&amp;utm_midiume=sabrweb&amp;beauty_campaign=2025_summer_event&amp;utm_term=이니스프리&amp;utm_term=0701_thumb2</v>
      </c>
      <c r="S6" s="153"/>
      <c r="T6" s="153"/>
      <c r="U6" s="153"/>
      <c r="V6" s="153"/>
      <c r="W6" s="153"/>
      <c r="X6" s="153"/>
      <c r="Y6" s="153"/>
    </row>
    <row r="7" spans="1:25" ht="35" customHeight="1" x14ac:dyDescent="0.45">
      <c r="B7" s="199">
        <v>2</v>
      </c>
      <c r="C7" s="201" t="s">
        <v>403</v>
      </c>
      <c r="D7" s="202" t="s">
        <v>404</v>
      </c>
      <c r="E7" s="203" t="s">
        <v>406</v>
      </c>
      <c r="F7" s="202" t="s">
        <v>405</v>
      </c>
      <c r="G7" s="202" t="s">
        <v>407</v>
      </c>
      <c r="H7" s="200"/>
      <c r="J7" s="34"/>
      <c r="K7" s="35"/>
      <c r="L7" s="35"/>
      <c r="M7" s="35"/>
      <c r="N7" s="35"/>
      <c r="O7" s="35"/>
      <c r="P7" s="36"/>
      <c r="Q7" s="36"/>
      <c r="R7" s="131"/>
      <c r="S7" s="132"/>
      <c r="T7" s="132"/>
      <c r="U7" s="132"/>
      <c r="V7" s="132"/>
      <c r="W7" s="132"/>
      <c r="X7" s="132"/>
      <c r="Y7" s="132"/>
    </row>
    <row r="8" spans="1:25" ht="35" customHeight="1" x14ac:dyDescent="0.45">
      <c r="B8" s="26">
        <v>3</v>
      </c>
      <c r="C8" s="23" t="s">
        <v>132</v>
      </c>
      <c r="D8" s="23" t="s">
        <v>370</v>
      </c>
      <c r="E8" s="29" t="s">
        <v>327</v>
      </c>
      <c r="F8" s="23" t="s">
        <v>93</v>
      </c>
      <c r="G8" s="23" t="s">
        <v>118</v>
      </c>
      <c r="H8" s="27"/>
      <c r="J8" s="34" t="s">
        <v>201</v>
      </c>
      <c r="K8" s="35" t="s">
        <v>365</v>
      </c>
      <c r="L8" s="35" t="s">
        <v>281</v>
      </c>
      <c r="M8" s="35" t="s">
        <v>184</v>
      </c>
      <c r="N8" s="35" t="s">
        <v>122</v>
      </c>
      <c r="O8" s="35" t="s">
        <v>130</v>
      </c>
      <c r="P8" s="36" t="str">
        <f>IF(N8="","x","o")</f>
        <v>o</v>
      </c>
      <c r="Q8" s="36" t="str">
        <f>IF(O8="","x","o")</f>
        <v>o</v>
      </c>
      <c r="R8" s="152" t="str">
        <f>J8&amp;IF(ISERR(FIND("?",J8)),"?","&amp;")&amp;"&amp;utm_source="&amp;K8&amp;"&amp;utm_midiume="&amp;L8&amp;"&amp;beauty_campaign="&amp;M8&amp;IF(P8="o","&amp;utm_term="&amp;N8,"")&amp;IF(Q8="o","&amp;utm_term="&amp;O8,"")</f>
        <v>https://sagejin99.cafe25.com/?&amp;utm_source=google&amp;utm_midiume=cpc&amp;beauty_campaign=2025_summer_MS&amp;utm_term=MS_Office&amp;utm_term=0707_MS_adv</v>
      </c>
      <c r="S8" s="153"/>
      <c r="T8" s="153"/>
      <c r="U8" s="153"/>
      <c r="V8" s="153"/>
      <c r="W8" s="153"/>
      <c r="X8" s="153"/>
      <c r="Y8" s="153"/>
    </row>
    <row r="9" spans="1:25" ht="35" customHeight="1" x14ac:dyDescent="0.45">
      <c r="B9" s="19"/>
      <c r="C9" s="19"/>
      <c r="D9" s="13"/>
      <c r="E9" s="13"/>
      <c r="F9" s="13"/>
      <c r="G9" s="19"/>
    </row>
    <row r="10" spans="1:25" ht="35" customHeight="1" x14ac:dyDescent="0.45">
      <c r="B10" s="19"/>
      <c r="C10" s="19"/>
      <c r="E10" s="13"/>
      <c r="F10" s="13"/>
      <c r="G10" s="19"/>
    </row>
    <row r="11" spans="1:25" ht="35" customHeight="1" x14ac:dyDescent="0.45">
      <c r="B11" s="1"/>
      <c r="C11" s="19"/>
      <c r="E11" s="13"/>
      <c r="F11" s="13"/>
      <c r="G11" s="19"/>
    </row>
    <row r="12" spans="1:25" ht="35" customHeight="1" x14ac:dyDescent="0.45">
      <c r="B12" s="1"/>
      <c r="C12" s="19"/>
      <c r="D12" s="13"/>
      <c r="E12" s="13"/>
      <c r="F12" s="13"/>
      <c r="G12" s="19"/>
    </row>
    <row r="13" spans="1:25" ht="35" customHeight="1" x14ac:dyDescent="0.45">
      <c r="B13" s="1"/>
      <c r="C13" s="19"/>
      <c r="D13" s="13"/>
      <c r="E13" s="13"/>
      <c r="F13" s="13"/>
      <c r="G13" s="19"/>
    </row>
    <row r="14" spans="1:25" ht="35" customHeight="1" x14ac:dyDescent="0.45">
      <c r="B14" s="1"/>
      <c r="C14" s="19"/>
      <c r="D14" s="13"/>
      <c r="E14" s="13"/>
      <c r="F14" s="13"/>
      <c r="G14" s="19"/>
    </row>
    <row r="15" spans="1:25" ht="35" customHeight="1" x14ac:dyDescent="0.45">
      <c r="B15" s="1"/>
      <c r="C15" s="19"/>
      <c r="D15" s="13"/>
      <c r="E15" s="13"/>
      <c r="F15" s="13"/>
      <c r="G15" s="19"/>
    </row>
    <row r="16" spans="1:25" ht="35" customHeight="1" x14ac:dyDescent="0.45">
      <c r="B16" s="13"/>
      <c r="C16" s="13"/>
      <c r="D16" s="13"/>
      <c r="E16" s="13"/>
      <c r="F16" s="13"/>
      <c r="G16" s="13"/>
    </row>
    <row r="17" spans="2:7" ht="35" customHeight="1" x14ac:dyDescent="0.45">
      <c r="B17" s="13"/>
      <c r="C17" s="13"/>
      <c r="D17" s="13"/>
      <c r="E17" s="13"/>
      <c r="F17" s="13"/>
      <c r="G17" s="13"/>
    </row>
    <row r="20" spans="2:7" ht="35" customHeight="1" x14ac:dyDescent="0.45">
      <c r="B20" s="1"/>
      <c r="C20" s="1"/>
      <c r="D20" s="1"/>
      <c r="E20" s="1"/>
      <c r="F20" s="1"/>
      <c r="G20" s="1"/>
    </row>
    <row r="21" spans="2:7" ht="35" customHeight="1" x14ac:dyDescent="0.45">
      <c r="B21" s="1"/>
      <c r="C21" s="1"/>
      <c r="G21" s="1"/>
    </row>
    <row r="22" spans="2:7" ht="35" customHeight="1" x14ac:dyDescent="0.45">
      <c r="B22" s="1"/>
      <c r="C22" s="1"/>
      <c r="G22" s="1"/>
    </row>
    <row r="23" spans="2:7" ht="35" customHeight="1" x14ac:dyDescent="0.45">
      <c r="B23" s="1"/>
      <c r="C23" s="1"/>
      <c r="G23" s="1"/>
    </row>
    <row r="24" spans="2:7" ht="35" customHeight="1" x14ac:dyDescent="0.45">
      <c r="B24" s="1"/>
      <c r="C24" s="1"/>
      <c r="G24" s="1"/>
    </row>
    <row r="25" spans="2:7" ht="35" customHeight="1" x14ac:dyDescent="0.45">
      <c r="B25" s="1"/>
      <c r="C25" s="1"/>
      <c r="G25" s="1"/>
    </row>
    <row r="26" spans="2:7" ht="35" customHeight="1" x14ac:dyDescent="0.45">
      <c r="B26" s="1"/>
      <c r="C26" s="1"/>
      <c r="G26" s="1"/>
    </row>
    <row r="27" spans="2:7" ht="35" customHeight="1" x14ac:dyDescent="0.45">
      <c r="B27" s="1"/>
      <c r="C27" s="1"/>
      <c r="G27" s="1"/>
    </row>
    <row r="28" spans="2:7" ht="35" customHeight="1" x14ac:dyDescent="0.45">
      <c r="B28" s="1"/>
      <c r="C28" s="1"/>
      <c r="G28" s="1"/>
    </row>
    <row r="29" spans="2:7" ht="35" customHeight="1" x14ac:dyDescent="0.45">
      <c r="B29" s="1"/>
      <c r="C29" s="1"/>
      <c r="G29" s="1"/>
    </row>
    <row r="30" spans="2:7" ht="35" customHeight="1" x14ac:dyDescent="0.45">
      <c r="B30" s="22"/>
      <c r="C30" s="22"/>
      <c r="D30" s="15"/>
      <c r="E30" s="15"/>
      <c r="F30" s="15"/>
      <c r="G30" s="22"/>
    </row>
  </sheetData>
  <mergeCells count="12">
    <mergeCell ref="R6:Y6"/>
    <mergeCell ref="R8:Y8"/>
    <mergeCell ref="L4:L5"/>
    <mergeCell ref="M4:M5"/>
    <mergeCell ref="N4:N5"/>
    <mergeCell ref="O4:O5"/>
    <mergeCell ref="R4:Y5"/>
    <mergeCell ref="B4:B5"/>
    <mergeCell ref="E4:E5"/>
    <mergeCell ref="H4:H5"/>
    <mergeCell ref="J4:J5"/>
    <mergeCell ref="K4:K5"/>
  </mergeCells>
  <phoneticPr fontId="9" type="noConversion"/>
  <dataValidations count="5">
    <dataValidation type="list" operator="equal" allowBlank="1" showInputMessage="1" showErrorMessage="1" sqref="K6:K7" xr:uid="{00000000-0002-0000-0500-000000000000}">
      <formula1>$C$6:$C$8</formula1>
    </dataValidation>
    <dataValidation type="list" operator="equal" allowBlank="1" showInputMessage="1" showErrorMessage="1" sqref="L6:L7" xr:uid="{00000000-0002-0000-0500-000001000000}">
      <formula1>$D$6:$D$8</formula1>
    </dataValidation>
    <dataValidation type="list" operator="equal" allowBlank="1" showInputMessage="1" showErrorMessage="1" sqref="M6:M7" xr:uid="{00000000-0002-0000-0500-000002000000}">
      <formula1>$F$6</formula1>
    </dataValidation>
    <dataValidation type="list" operator="equal" allowBlank="1" showInputMessage="1" showErrorMessage="1" sqref="N6:N7" xr:uid="{00000000-0002-0000-0500-000003000000}">
      <formula1>$E$6:$E$8</formula1>
    </dataValidation>
    <dataValidation type="list" operator="equal" allowBlank="1" showInputMessage="1" showErrorMessage="1" sqref="O6:O7" xr:uid="{00000000-0002-0000-0500-000004000000}">
      <formula1>$G$6:$G$8</formula1>
    </dataValidation>
  </dataValidations>
  <hyperlinks>
    <hyperlink ref="J6" r:id="rId1" xr:uid="{00000000-0004-0000-0500-000000000000}"/>
    <hyperlink ref="J8" r:id="rId2" xr:uid="{00000000-0004-0000-0500-000001000000}"/>
  </hyperlinks>
  <pageMargins left="0.74805557727813721" right="0.74805557727813721" top="0.98430556058883667" bottom="0.98430556058883667" header="0.51138889789581299" footer="0.51138889789581299"/>
  <pageSetup paperSize="9" fitToWidth="0" fitToHeight="0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E14"/>
  <sheetViews>
    <sheetView zoomScale="80" zoomScaleNormal="80" zoomScaleSheetLayoutView="80" workbookViewId="0">
      <selection activeCell="F12" sqref="F12"/>
    </sheetView>
  </sheetViews>
  <sheetFormatPr defaultColWidth="22.75" defaultRowHeight="29" customHeight="1" x14ac:dyDescent="0.45"/>
  <cols>
    <col min="1" max="1" width="22.75" customWidth="1"/>
  </cols>
  <sheetData>
    <row r="1" spans="1:5" ht="29" customHeight="1" x14ac:dyDescent="0.45">
      <c r="A1" s="37" t="s">
        <v>158</v>
      </c>
    </row>
    <row r="2" spans="1:5" ht="29" customHeight="1" x14ac:dyDescent="0.45">
      <c r="A2" s="66" t="s">
        <v>303</v>
      </c>
      <c r="B2" s="67" t="s">
        <v>183</v>
      </c>
      <c r="C2" s="67" t="s">
        <v>199</v>
      </c>
      <c r="D2" s="67" t="s">
        <v>161</v>
      </c>
      <c r="E2" s="68" t="s">
        <v>162</v>
      </c>
    </row>
    <row r="3" spans="1:5" ht="29" customHeight="1" x14ac:dyDescent="0.45">
      <c r="A3" s="55" t="s">
        <v>182</v>
      </c>
      <c r="B3" s="56"/>
      <c r="C3" s="57"/>
      <c r="D3" s="57"/>
      <c r="E3" s="58"/>
    </row>
    <row r="4" spans="1:5" ht="29" customHeight="1" x14ac:dyDescent="0.45">
      <c r="A4" s="55" t="s">
        <v>343</v>
      </c>
      <c r="B4" s="56"/>
      <c r="C4" s="59"/>
      <c r="D4" s="57"/>
      <c r="E4" s="58"/>
    </row>
    <row r="5" spans="1:5" ht="29" customHeight="1" x14ac:dyDescent="0.45">
      <c r="A5" s="55" t="s">
        <v>303</v>
      </c>
      <c r="B5" s="56"/>
      <c r="C5" s="59"/>
      <c r="D5" s="57"/>
      <c r="E5" s="58"/>
    </row>
    <row r="6" spans="1:5" ht="29" customHeight="1" x14ac:dyDescent="0.45">
      <c r="A6" s="55" t="s">
        <v>347</v>
      </c>
      <c r="B6" s="57"/>
      <c r="C6" s="59"/>
      <c r="D6" s="57"/>
      <c r="E6" s="58"/>
    </row>
    <row r="7" spans="1:5" ht="29" customHeight="1" x14ac:dyDescent="0.45">
      <c r="A7" s="55" t="s">
        <v>351</v>
      </c>
      <c r="B7" s="57"/>
      <c r="C7" s="59"/>
      <c r="D7" s="60"/>
      <c r="E7" s="58"/>
    </row>
    <row r="8" spans="1:5" ht="29" customHeight="1" x14ac:dyDescent="0.45">
      <c r="A8" s="55" t="s">
        <v>188</v>
      </c>
      <c r="B8" s="57"/>
      <c r="C8" s="57"/>
      <c r="D8" s="60"/>
      <c r="E8" s="70"/>
    </row>
    <row r="9" spans="1:5" ht="29" customHeight="1" x14ac:dyDescent="0.45">
      <c r="A9" s="55" t="s">
        <v>334</v>
      </c>
      <c r="B9" s="57"/>
      <c r="C9" s="57"/>
      <c r="D9" s="60"/>
      <c r="E9" s="58"/>
    </row>
    <row r="10" spans="1:5" ht="29" customHeight="1" x14ac:dyDescent="0.45">
      <c r="A10" s="61" t="s">
        <v>139</v>
      </c>
      <c r="B10" s="2"/>
      <c r="C10" s="2"/>
      <c r="D10" s="62"/>
      <c r="E10" s="63"/>
    </row>
    <row r="11" spans="1:5" ht="29" customHeight="1" x14ac:dyDescent="0.45">
      <c r="A11" s="55" t="s">
        <v>374</v>
      </c>
      <c r="B11" s="57"/>
      <c r="C11" s="57"/>
      <c r="D11" s="60"/>
      <c r="E11" s="58"/>
    </row>
    <row r="12" spans="1:5" ht="29" customHeight="1" x14ac:dyDescent="0.45">
      <c r="A12" s="55" t="s">
        <v>371</v>
      </c>
      <c r="B12" s="57"/>
      <c r="C12" s="57"/>
      <c r="D12" s="57"/>
      <c r="E12" s="70"/>
    </row>
    <row r="13" spans="1:5" ht="29" customHeight="1" x14ac:dyDescent="0.45">
      <c r="A13" s="55" t="s">
        <v>129</v>
      </c>
      <c r="B13" s="57"/>
      <c r="C13" s="57"/>
      <c r="D13" s="57"/>
      <c r="E13" s="70"/>
    </row>
    <row r="14" spans="1:5" ht="29" customHeight="1" x14ac:dyDescent="0.45">
      <c r="A14" s="64" t="s">
        <v>187</v>
      </c>
      <c r="B14" s="65"/>
      <c r="C14" s="65"/>
      <c r="D14" s="65"/>
      <c r="E14" s="69"/>
    </row>
  </sheetData>
  <phoneticPr fontId="9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I10"/>
  <sheetViews>
    <sheetView zoomScale="70" zoomScaleNormal="70" zoomScaleSheetLayoutView="70" workbookViewId="0">
      <selection activeCell="B5" sqref="B5"/>
    </sheetView>
  </sheetViews>
  <sheetFormatPr defaultColWidth="22.75" defaultRowHeight="29" customHeight="1" x14ac:dyDescent="0.45"/>
  <cols>
    <col min="1" max="1" width="22.75" customWidth="1"/>
  </cols>
  <sheetData>
    <row r="1" spans="1:9" ht="29" customHeight="1" x14ac:dyDescent="0.45">
      <c r="A1" s="37" t="s">
        <v>159</v>
      </c>
    </row>
    <row r="2" spans="1:9" ht="29" customHeight="1" x14ac:dyDescent="0.45">
      <c r="A2" s="37"/>
    </row>
    <row r="3" spans="1:9" ht="29" customHeight="1" x14ac:dyDescent="0.45">
      <c r="A3" s="91" t="s">
        <v>51</v>
      </c>
    </row>
    <row r="4" spans="1:9" ht="29" customHeight="1" x14ac:dyDescent="0.45">
      <c r="A4" s="91" t="s">
        <v>367</v>
      </c>
    </row>
    <row r="5" spans="1:9" ht="29" customHeight="1" x14ac:dyDescent="0.45">
      <c r="A5" s="91" t="s">
        <v>165</v>
      </c>
      <c r="B5" s="84">
        <f>AVERAGE(I7,I8,I9)</f>
        <v>2.7777777777777781</v>
      </c>
    </row>
    <row r="6" spans="1:9" ht="29" customHeight="1" x14ac:dyDescent="0.45">
      <c r="A6" s="73" t="s">
        <v>312</v>
      </c>
      <c r="B6" s="74" t="s">
        <v>310</v>
      </c>
      <c r="C6" s="74" t="s">
        <v>314</v>
      </c>
      <c r="D6" s="74" t="s">
        <v>301</v>
      </c>
      <c r="E6" s="74" t="s">
        <v>307</v>
      </c>
      <c r="F6" s="74" t="s">
        <v>308</v>
      </c>
      <c r="G6" s="77" t="s">
        <v>299</v>
      </c>
      <c r="H6" s="71" t="s">
        <v>311</v>
      </c>
      <c r="I6" s="72" t="s">
        <v>375</v>
      </c>
    </row>
    <row r="7" spans="1:9" ht="29" customHeight="1" x14ac:dyDescent="0.45">
      <c r="A7" s="75" t="s">
        <v>128</v>
      </c>
      <c r="B7" s="78">
        <v>4000000</v>
      </c>
      <c r="C7" s="78">
        <v>400000</v>
      </c>
      <c r="D7" s="82">
        <v>8000</v>
      </c>
      <c r="E7" s="76">
        <v>400</v>
      </c>
      <c r="F7" s="82">
        <v>12000000</v>
      </c>
      <c r="G7" s="88">
        <f>D7/C7</f>
        <v>0.02</v>
      </c>
      <c r="H7" s="57">
        <f>B7/E7</f>
        <v>10000</v>
      </c>
      <c r="I7" s="86">
        <f>F7/B7</f>
        <v>3</v>
      </c>
    </row>
    <row r="8" spans="1:9" ht="29" customHeight="1" x14ac:dyDescent="0.45">
      <c r="A8" s="55" t="s">
        <v>175</v>
      </c>
      <c r="B8" s="79">
        <v>3000000</v>
      </c>
      <c r="C8" s="79">
        <v>50000</v>
      </c>
      <c r="D8" s="83">
        <v>4000</v>
      </c>
      <c r="E8" s="57">
        <v>200</v>
      </c>
      <c r="F8" s="83">
        <v>10000000</v>
      </c>
      <c r="G8" s="88">
        <f>D8/C8</f>
        <v>0.08</v>
      </c>
      <c r="H8" s="57">
        <f>B8/E8</f>
        <v>15000</v>
      </c>
      <c r="I8" s="86">
        <f>F8/B8</f>
        <v>3.3333333333333335</v>
      </c>
    </row>
    <row r="9" spans="1:9" ht="29" customHeight="1" x14ac:dyDescent="0.45">
      <c r="A9" s="64" t="s">
        <v>357</v>
      </c>
      <c r="B9" s="80">
        <v>3000000</v>
      </c>
      <c r="C9" s="80">
        <v>200000</v>
      </c>
      <c r="D9" s="85">
        <v>2000</v>
      </c>
      <c r="E9" s="85">
        <v>80</v>
      </c>
      <c r="F9" s="85">
        <v>6000000</v>
      </c>
      <c r="G9" s="89">
        <f>D9/C9</f>
        <v>0.01</v>
      </c>
      <c r="H9" s="65">
        <f>B9/E9</f>
        <v>37500</v>
      </c>
      <c r="I9" s="87">
        <f>F9/B9</f>
        <v>2</v>
      </c>
    </row>
    <row r="10" spans="1:9" ht="29" customHeight="1" x14ac:dyDescent="0.45">
      <c r="A10" s="19" t="s">
        <v>297</v>
      </c>
      <c r="B10" s="81">
        <v>10000000</v>
      </c>
      <c r="C10" s="19"/>
      <c r="D10" s="19"/>
      <c r="E10" s="19"/>
      <c r="F10" s="19"/>
      <c r="G10" s="90"/>
      <c r="H10" s="19"/>
    </row>
  </sheetData>
  <phoneticPr fontId="9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I9"/>
  <sheetViews>
    <sheetView zoomScale="70" zoomScaleNormal="70" zoomScaleSheetLayoutView="70" workbookViewId="0">
      <selection activeCell="I9" sqref="I9"/>
    </sheetView>
  </sheetViews>
  <sheetFormatPr defaultColWidth="22.75" defaultRowHeight="29" customHeight="1" x14ac:dyDescent="0.45"/>
  <cols>
    <col min="1" max="1" width="22.75" customWidth="1"/>
  </cols>
  <sheetData>
    <row r="1" spans="1:9" ht="29" customHeight="1" x14ac:dyDescent="0.45">
      <c r="A1" s="37" t="s">
        <v>159</v>
      </c>
    </row>
    <row r="2" spans="1:9" ht="29" customHeight="1" x14ac:dyDescent="0.45">
      <c r="A2" s="13" t="s">
        <v>138</v>
      </c>
      <c r="B2" s="92">
        <f>SUM(B6,B7,B8)</f>
        <v>10000000</v>
      </c>
    </row>
    <row r="3" spans="1:9" ht="29" customHeight="1" x14ac:dyDescent="0.45">
      <c r="A3" s="13" t="s">
        <v>135</v>
      </c>
      <c r="B3" s="92">
        <f>SUM(F6,F7,F8)</f>
        <v>34500000</v>
      </c>
    </row>
    <row r="4" spans="1:9" ht="29" customHeight="1" x14ac:dyDescent="0.45">
      <c r="A4" s="13" t="s">
        <v>165</v>
      </c>
      <c r="B4" s="84">
        <f>AVERAGE(I6,I7,I8)</f>
        <v>3.5</v>
      </c>
    </row>
    <row r="5" spans="1:9" ht="29" customHeight="1" x14ac:dyDescent="0.45">
      <c r="A5" s="73" t="s">
        <v>312</v>
      </c>
      <c r="B5" s="74" t="s">
        <v>310</v>
      </c>
      <c r="C5" s="74" t="s">
        <v>314</v>
      </c>
      <c r="D5" s="74" t="s">
        <v>301</v>
      </c>
      <c r="E5" s="74" t="s">
        <v>307</v>
      </c>
      <c r="F5" s="74" t="s">
        <v>308</v>
      </c>
      <c r="G5" s="77" t="s">
        <v>299</v>
      </c>
      <c r="H5" s="71" t="s">
        <v>311</v>
      </c>
      <c r="I5" s="72" t="s">
        <v>375</v>
      </c>
    </row>
    <row r="6" spans="1:9" ht="29" customHeight="1" x14ac:dyDescent="0.45">
      <c r="A6" s="75" t="s">
        <v>128</v>
      </c>
      <c r="B6" s="78">
        <v>4000000</v>
      </c>
      <c r="C6" s="78">
        <v>400000</v>
      </c>
      <c r="D6" s="82">
        <v>8000</v>
      </c>
      <c r="E6" s="76">
        <v>400</v>
      </c>
      <c r="F6" s="82">
        <v>12000000</v>
      </c>
      <c r="G6" s="88">
        <f>D6/C6</f>
        <v>0.02</v>
      </c>
      <c r="H6" s="57">
        <f>B6/E6</f>
        <v>10000</v>
      </c>
      <c r="I6" s="86">
        <f>F6/B6</f>
        <v>3</v>
      </c>
    </row>
    <row r="7" spans="1:9" ht="29" customHeight="1" x14ac:dyDescent="0.45">
      <c r="A7" s="55" t="s">
        <v>175</v>
      </c>
      <c r="B7" s="79">
        <v>3000000</v>
      </c>
      <c r="C7" s="79">
        <v>50000</v>
      </c>
      <c r="D7" s="83">
        <v>4000</v>
      </c>
      <c r="E7" s="57">
        <v>200</v>
      </c>
      <c r="F7" s="83">
        <v>10900000</v>
      </c>
      <c r="G7" s="88">
        <f>D7/C7</f>
        <v>0.08</v>
      </c>
      <c r="H7" s="57">
        <f>B7/E7</f>
        <v>15000</v>
      </c>
      <c r="I7" s="86">
        <f>F7/B7</f>
        <v>3.6333333333333333</v>
      </c>
    </row>
    <row r="8" spans="1:9" ht="29" customHeight="1" x14ac:dyDescent="0.45">
      <c r="A8" s="64" t="s">
        <v>357</v>
      </c>
      <c r="B8" s="80">
        <v>3000000</v>
      </c>
      <c r="C8" s="80">
        <v>200000</v>
      </c>
      <c r="D8" s="85">
        <v>2000</v>
      </c>
      <c r="E8" s="85">
        <v>200</v>
      </c>
      <c r="F8" s="85">
        <v>11600000</v>
      </c>
      <c r="G8" s="89">
        <f>D8/C8</f>
        <v>0.01</v>
      </c>
      <c r="H8" s="65">
        <f>B8/E8</f>
        <v>15000</v>
      </c>
      <c r="I8" s="87">
        <f>F8/B8</f>
        <v>3.8666666666666667</v>
      </c>
    </row>
    <row r="9" spans="1:9" ht="29" customHeight="1" x14ac:dyDescent="0.45">
      <c r="A9" s="19" t="s">
        <v>297</v>
      </c>
      <c r="B9" s="81">
        <v>10000000</v>
      </c>
      <c r="C9" s="19"/>
      <c r="D9" s="19"/>
      <c r="E9" s="19"/>
      <c r="F9" s="19"/>
      <c r="G9" s="90"/>
      <c r="H9" s="19"/>
    </row>
  </sheetData>
  <scenarios current="1" show="1">
    <scenario name="유튜브 예산 삭감" locked="1" count="1" user="user" comment="작성한 사람 user 날짜 2025-07-08_x000a_수정한 사람 user 날짜 2025-07-08">
      <inputCells r="B9" val="2000000"/>
    </scenario>
    <scenario name="구글 서치 예산 증가" locked="1" count="1" user="user" comment="작성한 사람 user 날짜 2025-07-08">
      <inputCells r="B8" val="6000000"/>
    </scenario>
  </scenarios>
  <phoneticPr fontId="9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J11"/>
  <sheetViews>
    <sheetView zoomScale="90" zoomScaleNormal="90" zoomScaleSheetLayoutView="90" workbookViewId="0">
      <selection activeCell="B12" sqref="B12:G16"/>
    </sheetView>
  </sheetViews>
  <sheetFormatPr defaultColWidth="22.75" defaultRowHeight="29" customHeight="1" x14ac:dyDescent="0.45"/>
  <cols>
    <col min="1" max="2" width="22.75" customWidth="1"/>
    <col min="3" max="5" width="22.75" hidden="1" customWidth="1"/>
    <col min="6" max="6" width="22.75" customWidth="1"/>
  </cols>
  <sheetData>
    <row r="1" spans="1:10" ht="29" customHeight="1" x14ac:dyDescent="0.45">
      <c r="A1" s="37" t="s">
        <v>140</v>
      </c>
    </row>
    <row r="2" spans="1:10" ht="29" customHeight="1" x14ac:dyDescent="0.45">
      <c r="A2" s="13" t="s">
        <v>138</v>
      </c>
      <c r="B2" s="92">
        <f>SUM(B8,B9,B10)</f>
        <v>10000000</v>
      </c>
    </row>
    <row r="3" spans="1:10" ht="29" customHeight="1" x14ac:dyDescent="0.45">
      <c r="A3" s="13" t="s">
        <v>135</v>
      </c>
      <c r="B3" s="92">
        <f>SUM(F8,F9,F10)</f>
        <v>34500000</v>
      </c>
    </row>
    <row r="4" spans="1:10" ht="29" customHeight="1" x14ac:dyDescent="0.45">
      <c r="A4" s="13" t="s">
        <v>238</v>
      </c>
      <c r="B4" s="92"/>
    </row>
    <row r="5" spans="1:10" ht="29" customHeight="1" x14ac:dyDescent="0.45">
      <c r="A5" s="13" t="s">
        <v>376</v>
      </c>
      <c r="B5" s="94">
        <v>0.4</v>
      </c>
    </row>
    <row r="6" spans="1:10" ht="29" customHeight="1" x14ac:dyDescent="0.45">
      <c r="A6" s="13" t="s">
        <v>49</v>
      </c>
      <c r="B6" s="93">
        <v>30000</v>
      </c>
    </row>
    <row r="7" spans="1:10" ht="29" customHeight="1" x14ac:dyDescent="0.45">
      <c r="A7" s="73" t="s">
        <v>312</v>
      </c>
      <c r="B7" s="74" t="s">
        <v>310</v>
      </c>
      <c r="C7" s="74" t="s">
        <v>314</v>
      </c>
      <c r="D7" s="74" t="s">
        <v>301</v>
      </c>
      <c r="E7" s="74" t="s">
        <v>307</v>
      </c>
      <c r="F7" s="74" t="s">
        <v>308</v>
      </c>
      <c r="G7" s="77" t="s">
        <v>299</v>
      </c>
      <c r="H7" s="95" t="s">
        <v>311</v>
      </c>
      <c r="I7" s="96" t="s">
        <v>375</v>
      </c>
      <c r="J7" s="96" t="s">
        <v>285</v>
      </c>
    </row>
    <row r="8" spans="1:10" ht="29" customHeight="1" x14ac:dyDescent="0.45">
      <c r="A8" s="75" t="s">
        <v>128</v>
      </c>
      <c r="B8" s="78">
        <v>3000000</v>
      </c>
      <c r="C8" s="78">
        <v>400000</v>
      </c>
      <c r="D8" s="82">
        <v>8000</v>
      </c>
      <c r="E8" s="76">
        <v>400</v>
      </c>
      <c r="F8" s="82">
        <v>12000000</v>
      </c>
      <c r="G8" s="88">
        <f>D8/C8</f>
        <v>0.02</v>
      </c>
      <c r="H8" s="97">
        <f>B8/E8</f>
        <v>7500</v>
      </c>
      <c r="I8" s="98">
        <f>F8/B8</f>
        <v>4</v>
      </c>
      <c r="J8" s="98">
        <f>(F8*$B$5-B8)/B8</f>
        <v>0.6</v>
      </c>
    </row>
    <row r="9" spans="1:10" ht="29" customHeight="1" x14ac:dyDescent="0.45">
      <c r="A9" s="55" t="s">
        <v>175</v>
      </c>
      <c r="B9" s="79">
        <v>4000000</v>
      </c>
      <c r="C9" s="79">
        <v>50000</v>
      </c>
      <c r="D9" s="83">
        <v>4000</v>
      </c>
      <c r="E9" s="57">
        <v>200</v>
      </c>
      <c r="F9" s="83">
        <v>10900000</v>
      </c>
      <c r="G9" s="88">
        <f>D9/C9</f>
        <v>0.08</v>
      </c>
      <c r="H9" s="57">
        <f>B9/E9</f>
        <v>20000</v>
      </c>
      <c r="I9" s="86">
        <f>F9/B9</f>
        <v>2.7250000000000001</v>
      </c>
      <c r="J9" s="86">
        <f t="shared" ref="J9:J10" si="0">(F9*$B$5-B9)/B9</f>
        <v>0.09</v>
      </c>
    </row>
    <row r="10" spans="1:10" ht="29" customHeight="1" x14ac:dyDescent="0.45">
      <c r="A10" s="64" t="s">
        <v>357</v>
      </c>
      <c r="B10" s="80">
        <v>3000000</v>
      </c>
      <c r="C10" s="80">
        <v>200000</v>
      </c>
      <c r="D10" s="85">
        <v>2000</v>
      </c>
      <c r="E10" s="85">
        <v>200</v>
      </c>
      <c r="F10" s="85">
        <v>11600000</v>
      </c>
      <c r="G10" s="89">
        <f>D10/C10</f>
        <v>0.01</v>
      </c>
      <c r="H10" s="65">
        <f>B10/E10</f>
        <v>15000</v>
      </c>
      <c r="I10" s="87">
        <f>F10/B10</f>
        <v>3.8666666666666667</v>
      </c>
      <c r="J10" s="87">
        <f t="shared" si="0"/>
        <v>0.54666666666666663</v>
      </c>
    </row>
    <row r="11" spans="1:10" ht="29" customHeight="1" x14ac:dyDescent="0.45">
      <c r="A11" s="19" t="s">
        <v>297</v>
      </c>
      <c r="B11" s="81">
        <v>10000000</v>
      </c>
      <c r="C11" s="19"/>
      <c r="D11" s="19"/>
      <c r="E11" s="19"/>
      <c r="F11" s="19"/>
      <c r="G11" s="90"/>
      <c r="H11" s="19"/>
    </row>
  </sheetData>
  <scenarios current="1" show="1">
    <scenario name="유튜브 예산 삭감" locked="1" count="1" user="user" comment="작성한 사람 user 날짜 2025-07-08_x000a_수정한 사람 user 날짜 2025-07-08">
      <inputCells r="B9" val="2000000"/>
    </scenario>
    <scenario name="구글 서치 예산 증가" locked="1" count="1" user="user" comment="작성한 사람 user 날짜 2025-07-08">
      <inputCells r="B8" val="6000000"/>
    </scenario>
  </scenarios>
  <phoneticPr fontId="9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2:F12"/>
  <sheetViews>
    <sheetView zoomScale="90" zoomScaleNormal="90" zoomScaleSheetLayoutView="90" workbookViewId="0">
      <selection activeCell="F6" sqref="F6"/>
    </sheetView>
  </sheetViews>
  <sheetFormatPr defaultColWidth="22.75" defaultRowHeight="35" customHeight="1" x14ac:dyDescent="0.45"/>
  <cols>
    <col min="1" max="1" width="22.75" customWidth="1"/>
    <col min="2" max="2" width="52.75" customWidth="1"/>
    <col min="3" max="5" width="22.75" hidden="1" customWidth="1"/>
    <col min="6" max="6" width="93.08203125" customWidth="1"/>
    <col min="7" max="7" width="22.75" customWidth="1"/>
  </cols>
  <sheetData>
    <row r="2" spans="1:6" ht="35" customHeight="1" x14ac:dyDescent="0.45">
      <c r="A2" s="100" t="s">
        <v>56</v>
      </c>
    </row>
    <row r="3" spans="1:6" ht="35" customHeight="1" x14ac:dyDescent="0.45">
      <c r="A3" t="s">
        <v>53</v>
      </c>
    </row>
    <row r="4" spans="1:6" ht="35" customHeight="1" x14ac:dyDescent="0.45">
      <c r="A4" s="101" t="s">
        <v>354</v>
      </c>
      <c r="B4" s="77" t="s">
        <v>330</v>
      </c>
      <c r="C4" s="77" t="s">
        <v>310</v>
      </c>
      <c r="D4" s="77" t="s">
        <v>310</v>
      </c>
      <c r="E4" s="77" t="s">
        <v>310</v>
      </c>
      <c r="F4" s="77" t="s">
        <v>22</v>
      </c>
    </row>
    <row r="5" spans="1:6" ht="78" customHeight="1" x14ac:dyDescent="0.45">
      <c r="A5" s="7" t="s">
        <v>174</v>
      </c>
      <c r="B5" s="108" t="s">
        <v>20</v>
      </c>
      <c r="C5" s="102">
        <v>3000001</v>
      </c>
      <c r="D5" s="102">
        <v>3000002</v>
      </c>
      <c r="E5" s="102">
        <v>3000003</v>
      </c>
      <c r="F5" s="108" t="s">
        <v>19</v>
      </c>
    </row>
    <row r="6" spans="1:6" ht="62.25" customHeight="1" x14ac:dyDescent="0.45">
      <c r="A6" s="61" t="s">
        <v>173</v>
      </c>
      <c r="B6" s="106" t="s">
        <v>31</v>
      </c>
      <c r="C6" s="103">
        <v>4000001</v>
      </c>
      <c r="D6" s="103">
        <v>4000002</v>
      </c>
      <c r="E6" s="103">
        <v>4000003</v>
      </c>
      <c r="F6" s="111" t="s">
        <v>40</v>
      </c>
    </row>
    <row r="7" spans="1:6" ht="124.5" customHeight="1" x14ac:dyDescent="0.45">
      <c r="A7" s="104" t="s">
        <v>72</v>
      </c>
      <c r="B7" s="107" t="s">
        <v>25</v>
      </c>
      <c r="C7" s="105">
        <v>3000001</v>
      </c>
      <c r="D7" s="105">
        <v>3000002</v>
      </c>
      <c r="E7" s="105">
        <v>3000003</v>
      </c>
      <c r="F7" s="107" t="s">
        <v>23</v>
      </c>
    </row>
    <row r="8" spans="1:6" ht="35" customHeight="1" x14ac:dyDescent="0.45">
      <c r="A8" t="s">
        <v>373</v>
      </c>
      <c r="B8" t="s">
        <v>298</v>
      </c>
      <c r="F8" t="s">
        <v>321</v>
      </c>
    </row>
    <row r="9" spans="1:6" ht="35" customHeight="1" x14ac:dyDescent="0.45">
      <c r="A9" t="s">
        <v>197</v>
      </c>
      <c r="B9" t="s">
        <v>222</v>
      </c>
      <c r="F9" t="s">
        <v>87</v>
      </c>
    </row>
    <row r="10" spans="1:6" ht="35" customHeight="1" x14ac:dyDescent="0.45">
      <c r="A10" t="s">
        <v>48</v>
      </c>
      <c r="B10" t="s">
        <v>239</v>
      </c>
      <c r="F10" t="s">
        <v>88</v>
      </c>
    </row>
    <row r="11" spans="1:6" ht="35" customHeight="1" x14ac:dyDescent="0.45">
      <c r="A11" t="s">
        <v>163</v>
      </c>
      <c r="B11" t="s">
        <v>71</v>
      </c>
      <c r="F11" t="s">
        <v>57</v>
      </c>
    </row>
    <row r="12" spans="1:6" ht="35" customHeight="1" x14ac:dyDescent="0.45">
      <c r="A12" t="s">
        <v>58</v>
      </c>
      <c r="B12" t="s">
        <v>78</v>
      </c>
      <c r="F12" t="s">
        <v>50</v>
      </c>
    </row>
  </sheetData>
  <scenarios current="1" show="1">
    <scenario name="유튜브 예산 삭감" locked="1" count="1" user="user" comment="작성한 사람 user 날짜 2025-07-08_x000a_수정한 사람 user 날짜 2025-07-08">
      <inputCells r="B9" val="2000000"/>
    </scenario>
    <scenario name="구글 서치 예산 증가" locked="1" count="1" user="user" comment="작성한 사람 user 날짜 2025-07-08">
      <inputCells r="B8" val="6000000"/>
    </scenario>
  </scenarios>
  <phoneticPr fontId="9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2:G23"/>
  <sheetViews>
    <sheetView zoomScale="90" zoomScaleNormal="90" zoomScaleSheetLayoutView="90" workbookViewId="0">
      <selection activeCell="A8" sqref="A8:B9"/>
    </sheetView>
  </sheetViews>
  <sheetFormatPr defaultColWidth="22.75" defaultRowHeight="35" customHeight="1" x14ac:dyDescent="0.45"/>
  <cols>
    <col min="1" max="1" width="19.08203125" customWidth="1"/>
    <col min="2" max="2" width="20.25" customWidth="1"/>
    <col min="3" max="4" width="22.75" hidden="1" customWidth="1"/>
    <col min="5" max="5" width="0" hidden="1" customWidth="1"/>
    <col min="6" max="6" width="47.5" customWidth="1"/>
    <col min="7" max="7" width="22.75" customWidth="1"/>
  </cols>
  <sheetData>
    <row r="2" spans="1:7" ht="35" customHeight="1" x14ac:dyDescent="0.45">
      <c r="A2" s="100" t="s">
        <v>133</v>
      </c>
    </row>
    <row r="3" spans="1:7" ht="35" customHeight="1" x14ac:dyDescent="0.45">
      <c r="A3" t="s">
        <v>53</v>
      </c>
    </row>
    <row r="4" spans="1:7" ht="35" customHeight="1" x14ac:dyDescent="0.45">
      <c r="A4" s="154" t="s">
        <v>202</v>
      </c>
      <c r="B4" s="155"/>
      <c r="C4" s="77" t="s">
        <v>310</v>
      </c>
      <c r="D4" s="77" t="s">
        <v>310</v>
      </c>
      <c r="E4" s="77" t="s">
        <v>310</v>
      </c>
      <c r="F4" s="77" t="s">
        <v>245</v>
      </c>
      <c r="G4" s="109"/>
    </row>
    <row r="5" spans="1:7" ht="35" customHeight="1" x14ac:dyDescent="0.45">
      <c r="A5" s="156" t="s">
        <v>3</v>
      </c>
      <c r="B5" s="156"/>
      <c r="F5" s="156" t="s">
        <v>325</v>
      </c>
    </row>
    <row r="6" spans="1:7" ht="35" customHeight="1" x14ac:dyDescent="0.45">
      <c r="A6" s="156"/>
      <c r="B6" s="156"/>
      <c r="F6" s="156"/>
    </row>
    <row r="7" spans="1:7" ht="35" customHeight="1" x14ac:dyDescent="0.45">
      <c r="A7" s="154" t="s">
        <v>7</v>
      </c>
      <c r="B7" s="155"/>
      <c r="C7" s="77" t="s">
        <v>310</v>
      </c>
      <c r="D7" s="77" t="s">
        <v>310</v>
      </c>
      <c r="E7" s="77" t="s">
        <v>310</v>
      </c>
      <c r="F7" s="77" t="s">
        <v>255</v>
      </c>
    </row>
    <row r="8" spans="1:7" ht="35" customHeight="1" x14ac:dyDescent="0.45">
      <c r="A8" s="156" t="s">
        <v>324</v>
      </c>
      <c r="B8" s="156"/>
      <c r="F8" s="156" t="s">
        <v>28</v>
      </c>
    </row>
    <row r="9" spans="1:7" ht="75.75" customHeight="1" x14ac:dyDescent="0.45">
      <c r="A9" s="156"/>
      <c r="B9" s="156"/>
      <c r="F9" s="157"/>
    </row>
    <row r="10" spans="1:7" ht="35" customHeight="1" x14ac:dyDescent="0.45">
      <c r="A10" s="154" t="s">
        <v>353</v>
      </c>
      <c r="B10" s="155"/>
      <c r="C10" s="77" t="s">
        <v>310</v>
      </c>
      <c r="D10" s="77" t="s">
        <v>310</v>
      </c>
      <c r="E10" s="77" t="s">
        <v>310</v>
      </c>
      <c r="F10" s="77" t="s">
        <v>109</v>
      </c>
    </row>
    <row r="11" spans="1:7" ht="73.5" customHeight="1" x14ac:dyDescent="0.45">
      <c r="A11" s="158" t="s">
        <v>39</v>
      </c>
      <c r="B11" s="158"/>
      <c r="F11" s="158" t="s">
        <v>113</v>
      </c>
    </row>
    <row r="12" spans="1:7" ht="73.5" customHeight="1" x14ac:dyDescent="0.45">
      <c r="A12" s="158"/>
      <c r="B12" s="158"/>
      <c r="F12" s="159"/>
    </row>
    <row r="20" spans="3:3" ht="35" customHeight="1" x14ac:dyDescent="0.45">
      <c r="C20" t="s">
        <v>84</v>
      </c>
    </row>
    <row r="21" spans="3:3" ht="35" customHeight="1" x14ac:dyDescent="0.45">
      <c r="C21" t="s">
        <v>185</v>
      </c>
    </row>
    <row r="22" spans="3:3" ht="35" customHeight="1" x14ac:dyDescent="0.45">
      <c r="C22" t="s">
        <v>216</v>
      </c>
    </row>
    <row r="23" spans="3:3" ht="35" customHeight="1" x14ac:dyDescent="0.45">
      <c r="C23" t="s">
        <v>213</v>
      </c>
    </row>
  </sheetData>
  <scenarios current="1" show="1">
    <scenario name="유튜브 예산 삭감" locked="1" count="1" user="user" comment="작성한 사람 user 날짜 2025-07-08_x000a_수정한 사람 user 날짜 2025-07-08">
      <inputCells r="B9" val="2000000"/>
    </scenario>
    <scenario name="구글 서치 예산 증가" locked="1" count="1" user="user" comment="작성한 사람 user 날짜 2025-07-08">
      <inputCells r="B8" val="6000000"/>
    </scenario>
  </scenarios>
  <mergeCells count="9">
    <mergeCell ref="A10:B10"/>
    <mergeCell ref="A11:B12"/>
    <mergeCell ref="F11:F12"/>
    <mergeCell ref="A4:B4"/>
    <mergeCell ref="A5:B6"/>
    <mergeCell ref="F5:F6"/>
    <mergeCell ref="A7:B7"/>
    <mergeCell ref="A8:B9"/>
    <mergeCell ref="F8:F9"/>
  </mergeCells>
  <phoneticPr fontId="9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B1:J13"/>
  <sheetViews>
    <sheetView zoomScale="110" zoomScaleNormal="110" zoomScaleSheetLayoutView="110" workbookViewId="0">
      <selection activeCell="K14" sqref="B1:K14"/>
    </sheetView>
  </sheetViews>
  <sheetFormatPr defaultColWidth="13.75" defaultRowHeight="25" customHeight="1" x14ac:dyDescent="0.45"/>
  <cols>
    <col min="1" max="1" width="13.75" customWidth="1"/>
  </cols>
  <sheetData>
    <row r="1" spans="2:10" ht="25" customHeight="1" x14ac:dyDescent="0.45">
      <c r="B1" s="110" t="s">
        <v>215</v>
      </c>
    </row>
    <row r="2" spans="2:10" ht="25" customHeight="1" x14ac:dyDescent="0.45">
      <c r="B2" t="s">
        <v>283</v>
      </c>
      <c r="C2" t="s">
        <v>22</v>
      </c>
      <c r="F2" t="s">
        <v>321</v>
      </c>
      <c r="J2" t="s">
        <v>236</v>
      </c>
    </row>
    <row r="3" spans="2:10" ht="25" customHeight="1" x14ac:dyDescent="0.45">
      <c r="B3" t="s">
        <v>306</v>
      </c>
      <c r="C3" t="s">
        <v>234</v>
      </c>
      <c r="F3" t="s">
        <v>73</v>
      </c>
      <c r="J3" t="s">
        <v>218</v>
      </c>
    </row>
    <row r="4" spans="2:10" ht="25" customHeight="1" x14ac:dyDescent="0.45">
      <c r="B4" t="s">
        <v>323</v>
      </c>
      <c r="C4" t="s">
        <v>272</v>
      </c>
      <c r="F4" t="s">
        <v>66</v>
      </c>
      <c r="J4" t="s">
        <v>254</v>
      </c>
    </row>
    <row r="5" spans="2:10" ht="25" customHeight="1" x14ac:dyDescent="0.45">
      <c r="F5" t="s">
        <v>270</v>
      </c>
    </row>
    <row r="6" spans="2:10" ht="25" customHeight="1" x14ac:dyDescent="0.45">
      <c r="F6" t="s">
        <v>45</v>
      </c>
    </row>
    <row r="7" spans="2:10" ht="25" customHeight="1" x14ac:dyDescent="0.45">
      <c r="B7" t="s">
        <v>293</v>
      </c>
      <c r="C7" t="s">
        <v>217</v>
      </c>
      <c r="F7" t="s">
        <v>16</v>
      </c>
    </row>
    <row r="8" spans="2:10" ht="25" customHeight="1" x14ac:dyDescent="0.45">
      <c r="F8" t="s">
        <v>62</v>
      </c>
    </row>
    <row r="9" spans="2:10" ht="25" customHeight="1" x14ac:dyDescent="0.45">
      <c r="F9" t="s">
        <v>107</v>
      </c>
    </row>
    <row r="10" spans="2:10" ht="25" customHeight="1" x14ac:dyDescent="0.45">
      <c r="F10" t="s">
        <v>37</v>
      </c>
    </row>
    <row r="11" spans="2:10" ht="25" customHeight="1" x14ac:dyDescent="0.45">
      <c r="B11" t="s">
        <v>318</v>
      </c>
      <c r="C11" t="s">
        <v>206</v>
      </c>
      <c r="F11" t="s">
        <v>68</v>
      </c>
    </row>
    <row r="12" spans="2:10" ht="25" customHeight="1" x14ac:dyDescent="0.45">
      <c r="F12" t="s">
        <v>69</v>
      </c>
    </row>
    <row r="13" spans="2:10" ht="25" customHeight="1" x14ac:dyDescent="0.45">
      <c r="F13" t="s">
        <v>60</v>
      </c>
    </row>
  </sheetData>
  <phoneticPr fontId="9" type="noConversion"/>
  <pageMargins left="0.74805557727813721" right="0.74805557727813721" top="0.98430556058883667" bottom="0.98430556058883667" header="0.51152777671813965" footer="0.51152777671813965"/>
  <pageSetup paperSize="9" fitToWidth="0" fitToHeight="0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B1:Q15"/>
  <sheetViews>
    <sheetView topLeftCell="B1" zoomScale="110" zoomScaleNormal="110" zoomScaleSheetLayoutView="110" workbookViewId="0">
      <selection activeCell="B3" activeCellId="3" sqref="B4:E4 B7:E7 B11:E11 B3:E3"/>
    </sheetView>
  </sheetViews>
  <sheetFormatPr defaultColWidth="13.75" defaultRowHeight="25" customHeight="1" x14ac:dyDescent="0.45"/>
  <cols>
    <col min="1" max="4" width="13.75" customWidth="1"/>
    <col min="5" max="5" width="13" customWidth="1"/>
    <col min="6" max="14" width="13.75" customWidth="1"/>
    <col min="15" max="15" width="0.25" customWidth="1"/>
    <col min="16" max="16" width="0" hidden="1" customWidth="1"/>
    <col min="17" max="17" width="13.75" customWidth="1"/>
  </cols>
  <sheetData>
    <row r="1" spans="2:17" ht="25" customHeight="1" x14ac:dyDescent="0.45">
      <c r="B1" s="110" t="s">
        <v>215</v>
      </c>
    </row>
    <row r="2" spans="2:17" ht="25" customHeight="1" x14ac:dyDescent="0.45">
      <c r="B2" s="16" t="s">
        <v>283</v>
      </c>
      <c r="C2" s="16" t="s">
        <v>22</v>
      </c>
      <c r="D2" s="16"/>
      <c r="E2" s="16"/>
      <c r="F2" s="16"/>
      <c r="G2" s="16"/>
      <c r="H2" s="16"/>
      <c r="I2" s="16"/>
      <c r="J2" s="17"/>
      <c r="K2" s="16"/>
      <c r="L2" s="16"/>
      <c r="M2" s="16"/>
      <c r="N2" s="16"/>
      <c r="O2" s="16"/>
      <c r="P2" s="16"/>
      <c r="Q2" s="16"/>
    </row>
    <row r="3" spans="2:17" ht="25" customHeight="1" x14ac:dyDescent="0.45">
      <c r="B3" s="113" t="s">
        <v>306</v>
      </c>
      <c r="C3" s="114" t="s">
        <v>234</v>
      </c>
      <c r="D3" s="114"/>
      <c r="E3" s="114"/>
      <c r="F3" s="112" t="s">
        <v>291</v>
      </c>
      <c r="G3" s="160"/>
      <c r="H3" s="161"/>
      <c r="I3" s="161"/>
      <c r="J3" s="162"/>
      <c r="K3" s="161"/>
      <c r="L3" s="161"/>
      <c r="M3" s="161"/>
      <c r="N3" s="161"/>
      <c r="O3" s="161"/>
      <c r="P3" s="161"/>
      <c r="Q3" s="38"/>
    </row>
    <row r="4" spans="2:17" ht="37.5" customHeight="1" x14ac:dyDescent="0.45">
      <c r="B4" s="115" t="s">
        <v>323</v>
      </c>
      <c r="C4" s="116" t="s">
        <v>272</v>
      </c>
      <c r="D4" s="116"/>
      <c r="E4" s="116"/>
      <c r="F4" s="163" t="s">
        <v>401</v>
      </c>
      <c r="G4" s="163"/>
      <c r="H4" s="163"/>
      <c r="I4" s="163"/>
      <c r="J4" s="164"/>
      <c r="K4" s="163"/>
      <c r="L4" s="163"/>
      <c r="M4" s="163"/>
      <c r="N4" s="163"/>
      <c r="O4" s="163"/>
      <c r="P4" s="165"/>
      <c r="Q4" s="13"/>
    </row>
    <row r="5" spans="2:17" ht="25" customHeight="1" x14ac:dyDescent="0.45">
      <c r="B5" s="166"/>
      <c r="C5" s="166"/>
      <c r="D5" s="166"/>
      <c r="E5" s="167"/>
      <c r="F5" s="170" t="s">
        <v>398</v>
      </c>
      <c r="G5" s="170"/>
      <c r="H5" s="171"/>
      <c r="I5" s="170"/>
      <c r="J5" s="170"/>
      <c r="K5" s="170"/>
      <c r="L5" s="170"/>
      <c r="M5" s="170"/>
      <c r="N5" s="170"/>
      <c r="O5" s="170"/>
      <c r="P5" s="172"/>
      <c r="Q5" s="13"/>
    </row>
    <row r="6" spans="2:17" ht="25" customHeight="1" x14ac:dyDescent="0.45">
      <c r="B6" s="168"/>
      <c r="C6" s="168"/>
      <c r="D6" s="168"/>
      <c r="E6" s="169"/>
      <c r="F6" s="170" t="s">
        <v>157</v>
      </c>
      <c r="G6" s="170"/>
      <c r="H6" s="171"/>
      <c r="I6" s="170"/>
      <c r="J6" s="170"/>
      <c r="K6" s="170"/>
      <c r="L6" s="170"/>
      <c r="M6" s="170"/>
      <c r="N6" s="170"/>
      <c r="O6" s="170"/>
      <c r="P6" s="172"/>
      <c r="Q6" s="13"/>
    </row>
    <row r="7" spans="2:17" ht="25" customHeight="1" x14ac:dyDescent="0.45">
      <c r="B7" s="115" t="s">
        <v>293</v>
      </c>
      <c r="C7" s="116" t="s">
        <v>217</v>
      </c>
      <c r="D7" s="116"/>
      <c r="E7" s="116"/>
      <c r="F7" s="170" t="s">
        <v>46</v>
      </c>
      <c r="G7" s="170"/>
      <c r="H7" s="170"/>
      <c r="I7" s="170"/>
      <c r="J7" s="170"/>
      <c r="K7" s="170"/>
      <c r="L7" s="170"/>
      <c r="M7" s="170"/>
      <c r="N7" s="170"/>
      <c r="O7" s="170"/>
      <c r="P7" s="172"/>
      <c r="Q7" s="13"/>
    </row>
    <row r="8" spans="2:17" ht="36.75" customHeight="1" x14ac:dyDescent="0.45">
      <c r="B8" s="166"/>
      <c r="C8" s="166"/>
      <c r="D8" s="166"/>
      <c r="E8" s="167"/>
      <c r="F8" s="163" t="s">
        <v>18</v>
      </c>
      <c r="G8" s="170"/>
      <c r="H8" s="170"/>
      <c r="I8" s="170"/>
      <c r="J8" s="170"/>
      <c r="K8" s="170"/>
      <c r="L8" s="170"/>
      <c r="M8" s="170"/>
      <c r="N8" s="170"/>
      <c r="O8" s="170"/>
      <c r="P8" s="172"/>
      <c r="Q8" s="13"/>
    </row>
    <row r="9" spans="2:17" ht="45" customHeight="1" x14ac:dyDescent="0.45">
      <c r="B9" s="157"/>
      <c r="C9" s="157"/>
      <c r="D9" s="157"/>
      <c r="E9" s="173"/>
      <c r="F9" s="165" t="s">
        <v>2</v>
      </c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3"/>
    </row>
    <row r="10" spans="2:17" ht="25" customHeight="1" x14ac:dyDescent="0.45">
      <c r="B10" s="168"/>
      <c r="C10" s="168"/>
      <c r="D10" s="168"/>
      <c r="E10" s="169"/>
      <c r="F10" s="170" t="s">
        <v>155</v>
      </c>
      <c r="G10" s="170"/>
      <c r="H10" s="170"/>
      <c r="I10" s="170"/>
      <c r="J10" s="170"/>
      <c r="K10" s="170"/>
      <c r="L10" s="170"/>
      <c r="M10" s="170"/>
      <c r="N10" s="170"/>
      <c r="O10" s="170"/>
      <c r="P10" s="172"/>
      <c r="Q10" s="13"/>
    </row>
    <row r="11" spans="2:17" ht="25" customHeight="1" x14ac:dyDescent="0.45">
      <c r="B11" s="115" t="s">
        <v>318</v>
      </c>
      <c r="C11" s="116" t="s">
        <v>206</v>
      </c>
      <c r="D11" s="116"/>
      <c r="E11" s="116"/>
      <c r="F11" s="170" t="s">
        <v>26</v>
      </c>
      <c r="G11" s="170"/>
      <c r="H11" s="170"/>
      <c r="I11" s="170"/>
      <c r="J11" s="170"/>
      <c r="K11" s="170"/>
      <c r="L11" s="170"/>
      <c r="M11" s="170"/>
      <c r="N11" s="170"/>
      <c r="O11" s="170"/>
      <c r="P11" s="172"/>
      <c r="Q11" s="13"/>
    </row>
    <row r="12" spans="2:17" ht="42.75" customHeight="1" x14ac:dyDescent="0.45">
      <c r="B12" s="166"/>
      <c r="C12" s="166"/>
      <c r="D12" s="166"/>
      <c r="E12" s="167"/>
      <c r="F12" s="163" t="s">
        <v>402</v>
      </c>
      <c r="G12" s="170"/>
      <c r="H12" s="170"/>
      <c r="I12" s="170"/>
      <c r="J12" s="170"/>
      <c r="K12" s="170"/>
      <c r="L12" s="170"/>
      <c r="M12" s="170"/>
      <c r="N12" s="170"/>
      <c r="O12" s="170"/>
      <c r="P12" s="172"/>
      <c r="Q12" s="13"/>
    </row>
    <row r="13" spans="2:17" ht="36.75" customHeight="1" x14ac:dyDescent="0.45">
      <c r="B13" s="175"/>
      <c r="C13" s="175"/>
      <c r="D13" s="175"/>
      <c r="E13" s="176"/>
      <c r="F13" s="177" t="s">
        <v>21</v>
      </c>
      <c r="G13" s="178"/>
      <c r="H13" s="178"/>
      <c r="I13" s="178"/>
      <c r="J13" s="178"/>
      <c r="K13" s="178"/>
      <c r="L13" s="178"/>
      <c r="M13" s="178"/>
      <c r="N13" s="178"/>
      <c r="O13" s="178"/>
      <c r="P13" s="179"/>
      <c r="Q13" s="14"/>
    </row>
    <row r="15" spans="2:17" ht="25" customHeight="1" x14ac:dyDescent="0.45">
      <c r="B15" s="110"/>
    </row>
  </sheetData>
  <mergeCells count="14">
    <mergeCell ref="F11:P11"/>
    <mergeCell ref="B12:E13"/>
    <mergeCell ref="F12:P12"/>
    <mergeCell ref="F13:P13"/>
    <mergeCell ref="F7:P7"/>
    <mergeCell ref="B8:E10"/>
    <mergeCell ref="F8:P8"/>
    <mergeCell ref="F9:P9"/>
    <mergeCell ref="F10:P10"/>
    <mergeCell ref="G3:P3"/>
    <mergeCell ref="F4:P4"/>
    <mergeCell ref="B5:E6"/>
    <mergeCell ref="F5:P5"/>
    <mergeCell ref="F6:P6"/>
  </mergeCells>
  <phoneticPr fontId="9" type="noConversion"/>
  <pageMargins left="0.74805557727813721" right="0.74805557727813721" top="0.98430556058883667" bottom="0.98430556058883667" header="0.51152777671813965" footer="0.51152777671813965"/>
  <pageSetup paperSize="9" fitToWidth="0" fitToHeight="0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B2:H13"/>
  <sheetViews>
    <sheetView zoomScale="110" zoomScaleNormal="110" zoomScaleSheetLayoutView="110" workbookViewId="0"/>
  </sheetViews>
  <sheetFormatPr defaultColWidth="11.75" defaultRowHeight="25" customHeight="1" x14ac:dyDescent="0.45"/>
  <cols>
    <col min="1" max="1" width="11.75" customWidth="1"/>
  </cols>
  <sheetData>
    <row r="2" spans="2:8" ht="25" customHeight="1" x14ac:dyDescent="0.45">
      <c r="B2" s="117" t="s">
        <v>250</v>
      </c>
    </row>
    <row r="3" spans="2:8" ht="25" customHeight="1" x14ac:dyDescent="0.45">
      <c r="B3" t="s">
        <v>110</v>
      </c>
    </row>
    <row r="4" spans="2:8" ht="25" customHeight="1" x14ac:dyDescent="0.45">
      <c r="B4" t="s">
        <v>97</v>
      </c>
    </row>
    <row r="5" spans="2:8" ht="25" customHeight="1" x14ac:dyDescent="0.45">
      <c r="B5" t="s">
        <v>32</v>
      </c>
    </row>
    <row r="6" spans="2:8" ht="25" customHeight="1" x14ac:dyDescent="0.45">
      <c r="B6" t="s">
        <v>36</v>
      </c>
    </row>
    <row r="7" spans="2:8" ht="25" customHeight="1" x14ac:dyDescent="0.45">
      <c r="B7" t="s">
        <v>169</v>
      </c>
    </row>
    <row r="8" spans="2:8" ht="25" customHeight="1" x14ac:dyDescent="0.45">
      <c r="B8" s="180" t="s">
        <v>101</v>
      </c>
      <c r="C8" s="180"/>
      <c r="D8" s="180"/>
      <c r="E8" s="180"/>
      <c r="F8" s="180"/>
      <c r="G8" s="180"/>
      <c r="H8" s="180"/>
    </row>
    <row r="9" spans="2:8" s="118" customFormat="1" ht="37.5" customHeight="1" x14ac:dyDescent="0.45">
      <c r="B9" s="181" t="s">
        <v>99</v>
      </c>
      <c r="C9" s="181"/>
      <c r="D9" s="181"/>
      <c r="E9" s="181"/>
      <c r="F9" s="181"/>
      <c r="G9" s="181"/>
      <c r="H9" s="181"/>
    </row>
    <row r="10" spans="2:8" ht="25" customHeight="1" x14ac:dyDescent="0.45">
      <c r="B10" t="s">
        <v>170</v>
      </c>
    </row>
    <row r="11" spans="2:8" ht="39" customHeight="1" x14ac:dyDescent="0.45">
      <c r="B11" s="181" t="s">
        <v>399</v>
      </c>
      <c r="C11" s="181"/>
      <c r="D11" s="181"/>
      <c r="E11" s="181"/>
      <c r="F11" s="181"/>
      <c r="G11" s="181"/>
      <c r="H11" s="181"/>
    </row>
    <row r="12" spans="2:8" ht="25" customHeight="1" x14ac:dyDescent="0.45">
      <c r="B12" s="180" t="s">
        <v>63</v>
      </c>
      <c r="C12" s="180"/>
      <c r="D12" s="180"/>
      <c r="E12" s="180"/>
      <c r="F12" s="180"/>
      <c r="G12" s="180"/>
      <c r="H12" s="180"/>
    </row>
    <row r="13" spans="2:8" ht="42" customHeight="1" x14ac:dyDescent="0.45">
      <c r="B13" s="181" t="s">
        <v>156</v>
      </c>
      <c r="C13" s="181"/>
      <c r="D13" s="181"/>
      <c r="E13" s="181"/>
      <c r="F13" s="181"/>
      <c r="G13" s="181"/>
      <c r="H13" s="181"/>
    </row>
  </sheetData>
  <mergeCells count="5">
    <mergeCell ref="B8:H8"/>
    <mergeCell ref="B9:H9"/>
    <mergeCell ref="B11:H11"/>
    <mergeCell ref="B12:H12"/>
    <mergeCell ref="B13:H13"/>
  </mergeCells>
  <phoneticPr fontId="9" type="noConversion"/>
  <pageMargins left="0.74805557727813721" right="0.74805557727813721" top="0.98430556058883667" bottom="0.98430556058883667" header="0.51152777671813965" footer="0.51152777671813965"/>
  <pageSetup paperSize="9" fitToWidth="0" fitToHeight="0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B2:H15"/>
  <sheetViews>
    <sheetView zoomScale="110" zoomScaleNormal="110" zoomScaleSheetLayoutView="110" workbookViewId="0">
      <selection activeCell="D11" sqref="D11"/>
    </sheetView>
  </sheetViews>
  <sheetFormatPr defaultColWidth="11.75" defaultRowHeight="30" customHeight="1" x14ac:dyDescent="0.45"/>
  <cols>
    <col min="1" max="4" width="11.75" customWidth="1"/>
    <col min="5" max="5" width="13.33203125" customWidth="1"/>
    <col min="6" max="6" width="11.75" customWidth="1"/>
  </cols>
  <sheetData>
    <row r="2" spans="2:8" ht="30" customHeight="1" x14ac:dyDescent="0.45">
      <c r="B2" s="117" t="s">
        <v>55</v>
      </c>
    </row>
    <row r="3" spans="2:8" ht="30" customHeight="1" x14ac:dyDescent="0.45">
      <c r="B3" t="s">
        <v>5</v>
      </c>
    </row>
    <row r="4" spans="2:8" ht="30" customHeight="1" x14ac:dyDescent="0.45">
      <c r="B4" s="19" t="s">
        <v>304</v>
      </c>
      <c r="C4" s="19" t="s">
        <v>149</v>
      </c>
      <c r="D4" s="19" t="s">
        <v>341</v>
      </c>
      <c r="E4" s="19" t="s">
        <v>167</v>
      </c>
      <c r="F4" s="1" t="s">
        <v>378</v>
      </c>
    </row>
    <row r="5" spans="2:8" ht="30" customHeight="1" x14ac:dyDescent="0.45">
      <c r="B5" s="19">
        <v>1</v>
      </c>
      <c r="C5" s="19" t="s">
        <v>316</v>
      </c>
      <c r="D5" s="19" t="s">
        <v>345</v>
      </c>
      <c r="E5" s="122">
        <v>45805</v>
      </c>
      <c r="F5" s="120">
        <v>8000</v>
      </c>
    </row>
    <row r="6" spans="2:8" ht="30" customHeight="1" x14ac:dyDescent="0.45">
      <c r="B6" s="19">
        <v>2</v>
      </c>
      <c r="C6" s="19" t="s">
        <v>316</v>
      </c>
      <c r="D6" s="19" t="s">
        <v>345</v>
      </c>
      <c r="E6" s="122">
        <v>45809</v>
      </c>
      <c r="F6" s="120">
        <v>12000</v>
      </c>
    </row>
    <row r="7" spans="2:8" ht="30" customHeight="1" x14ac:dyDescent="0.45">
      <c r="B7" s="19">
        <v>3</v>
      </c>
      <c r="C7" s="19" t="s">
        <v>316</v>
      </c>
      <c r="D7" s="19" t="s">
        <v>345</v>
      </c>
      <c r="E7" s="122">
        <v>45836</v>
      </c>
      <c r="F7" s="120">
        <v>32000</v>
      </c>
    </row>
    <row r="8" spans="2:8" ht="30" customHeight="1" x14ac:dyDescent="0.45">
      <c r="B8" s="19">
        <v>4</v>
      </c>
      <c r="C8" s="19" t="s">
        <v>289</v>
      </c>
      <c r="D8" s="19" t="s">
        <v>350</v>
      </c>
      <c r="E8" s="122">
        <v>45678</v>
      </c>
      <c r="F8" s="121">
        <v>7000</v>
      </c>
    </row>
    <row r="9" spans="2:8" ht="30" customHeight="1" x14ac:dyDescent="0.45">
      <c r="B9" s="19">
        <v>5</v>
      </c>
      <c r="C9" s="19" t="s">
        <v>319</v>
      </c>
      <c r="D9" s="19" t="s">
        <v>337</v>
      </c>
      <c r="E9" s="122">
        <v>45717</v>
      </c>
      <c r="F9" s="120">
        <v>25000</v>
      </c>
    </row>
    <row r="10" spans="2:8" ht="30" customHeight="1" x14ac:dyDescent="0.45">
      <c r="B10" s="19">
        <v>6</v>
      </c>
      <c r="C10" s="19" t="s">
        <v>319</v>
      </c>
      <c r="D10" s="19" t="s">
        <v>337</v>
      </c>
      <c r="E10" s="122">
        <v>45838</v>
      </c>
      <c r="F10" s="120">
        <v>30000</v>
      </c>
    </row>
    <row r="11" spans="2:8" ht="30" customHeight="1" x14ac:dyDescent="0.45">
      <c r="B11" s="19">
        <v>7</v>
      </c>
      <c r="C11" s="19" t="s">
        <v>317</v>
      </c>
      <c r="D11" s="19" t="s">
        <v>348</v>
      </c>
      <c r="E11" s="122">
        <v>45792</v>
      </c>
      <c r="F11" s="120">
        <v>15000</v>
      </c>
      <c r="G11" s="13"/>
      <c r="H11" s="13"/>
    </row>
    <row r="12" spans="2:8" ht="30" customHeight="1" x14ac:dyDescent="0.45">
      <c r="B12" s="19">
        <v>8</v>
      </c>
      <c r="C12" s="19" t="s">
        <v>305</v>
      </c>
      <c r="D12" s="19" t="s">
        <v>352</v>
      </c>
      <c r="E12" s="122">
        <v>45821</v>
      </c>
      <c r="F12" s="120">
        <v>8000</v>
      </c>
    </row>
    <row r="13" spans="2:8" ht="30" customHeight="1" x14ac:dyDescent="0.45">
      <c r="C13" s="109"/>
      <c r="D13" s="109"/>
      <c r="E13" s="109"/>
      <c r="F13" s="109"/>
      <c r="G13" s="109"/>
      <c r="H13" s="109"/>
    </row>
    <row r="14" spans="2:8" ht="30" customHeight="1" x14ac:dyDescent="0.45">
      <c r="C14" s="13"/>
      <c r="D14" s="13"/>
      <c r="E14" s="13"/>
      <c r="F14" s="13"/>
      <c r="G14" s="13"/>
      <c r="H14" s="13"/>
    </row>
    <row r="15" spans="2:8" ht="30" customHeight="1" x14ac:dyDescent="0.45">
      <c r="B15" s="109"/>
      <c r="C15" s="109"/>
      <c r="D15" s="109"/>
      <c r="E15" s="109"/>
      <c r="F15" s="109"/>
      <c r="G15" s="109"/>
      <c r="H15" s="109"/>
    </row>
  </sheetData>
  <phoneticPr fontId="9" type="noConversion"/>
  <pageMargins left="0.74805557727813721" right="0.74805557727813721" top="0.98430556058883667" bottom="0.98430556058883667" header="0.51152777671813965" footer="0.51152777671813965"/>
  <pageSetup paperSize="9" fitToWidth="0" fitToHeight="0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/>
  <dimension ref="A2:P12"/>
  <sheetViews>
    <sheetView zoomScale="110" zoomScaleNormal="110" zoomScaleSheetLayoutView="110" workbookViewId="0">
      <selection activeCell="G15" sqref="G15"/>
    </sheetView>
  </sheetViews>
  <sheetFormatPr defaultColWidth="9" defaultRowHeight="30" customHeight="1" x14ac:dyDescent="0.45"/>
  <cols>
    <col min="1" max="3" width="11.75" customWidth="1"/>
    <col min="4" max="4" width="12.83203125" customWidth="1"/>
    <col min="5" max="6" width="13.33203125" customWidth="1"/>
    <col min="7" max="7" width="11.75" customWidth="1"/>
    <col min="8" max="8" width="14.08203125" customWidth="1"/>
    <col min="9" max="16382" width="11.75" customWidth="1"/>
  </cols>
  <sheetData>
    <row r="2" spans="1:16" ht="30" customHeight="1" x14ac:dyDescent="0.45">
      <c r="A2" s="117" t="s">
        <v>55</v>
      </c>
    </row>
    <row r="3" spans="1:16" ht="30" customHeight="1" x14ac:dyDescent="0.45">
      <c r="A3" t="s">
        <v>192</v>
      </c>
    </row>
    <row r="4" spans="1:16" ht="30" customHeight="1" x14ac:dyDescent="0.45">
      <c r="A4" s="19" t="s">
        <v>304</v>
      </c>
      <c r="B4" s="19" t="s">
        <v>149</v>
      </c>
      <c r="C4" s="19" t="s">
        <v>341</v>
      </c>
      <c r="D4" s="19" t="s">
        <v>167</v>
      </c>
      <c r="E4" s="1" t="s">
        <v>378</v>
      </c>
      <c r="F4" s="1"/>
      <c r="G4" s="19" t="s">
        <v>339</v>
      </c>
      <c r="H4" s="1" t="s">
        <v>190</v>
      </c>
      <c r="I4" s="19" t="s">
        <v>391</v>
      </c>
      <c r="J4" s="19" t="s">
        <v>143</v>
      </c>
      <c r="K4" s="19" t="s">
        <v>114</v>
      </c>
      <c r="L4" s="19" t="s">
        <v>383</v>
      </c>
      <c r="M4" s="19" t="s">
        <v>382</v>
      </c>
      <c r="N4" s="19" t="s">
        <v>392</v>
      </c>
      <c r="O4" s="19" t="s">
        <v>115</v>
      </c>
      <c r="P4" s="19" t="s">
        <v>381</v>
      </c>
    </row>
    <row r="5" spans="1:16" ht="30" customHeight="1" x14ac:dyDescent="0.45">
      <c r="A5" s="19">
        <v>1</v>
      </c>
      <c r="B5" s="19" t="s">
        <v>316</v>
      </c>
      <c r="C5" s="19" t="s">
        <v>345</v>
      </c>
      <c r="D5" s="119" t="s">
        <v>144</v>
      </c>
      <c r="E5" s="120">
        <v>8000</v>
      </c>
      <c r="F5" s="120"/>
      <c r="G5" s="1" t="s">
        <v>345</v>
      </c>
      <c r="H5" s="122">
        <f>_xlfn.MAXIFS(RAW_DATA!$E$5:$E$12,RAW_DATA!$D$5:$D$12,G5)</f>
        <v>45836</v>
      </c>
      <c r="I5" s="19">
        <f ca="1">TODAY()-H5</f>
        <v>30</v>
      </c>
      <c r="J5" s="19">
        <f>COUNTIFS(RAW_DATA!D5:$D$12,G5)</f>
        <v>3</v>
      </c>
      <c r="K5" s="123">
        <f>SUMIFS(RAW_DATA!F5:$F$12,RAW_DATA!D5:$D$12,G5)</f>
        <v>52000</v>
      </c>
      <c r="L5" s="19">
        <f ca="1">IF(I5&lt;=20,5,IF(I5&lt;=40,4,IF(I5&lt;=60,3,IF(I5&lt;=90,2,1))))</f>
        <v>4</v>
      </c>
      <c r="M5" s="19">
        <f>IF(J5&gt;=3,5,IF(J5&gt;=2,4,3))</f>
        <v>5</v>
      </c>
      <c r="N5" s="19">
        <f>IF(K5&gt;=50000,5,IF(K5&gt;=20000,4,IF(K5&gt;=10000,3,2)))</f>
        <v>5</v>
      </c>
      <c r="O5" s="19" t="str">
        <f ca="1">TEXT(L5,"0")&amp;TEXT(M5,"0")&amp;TEXT(N5,"0")</f>
        <v>455</v>
      </c>
      <c r="P5" s="19" t="str">
        <f ca="1">IF(O5="555","Best",IF(L5&lt;=2,"At Risk","General"))</f>
        <v>General</v>
      </c>
    </row>
    <row r="6" spans="1:16" ht="30" customHeight="1" x14ac:dyDescent="0.45">
      <c r="A6" s="19">
        <v>2</v>
      </c>
      <c r="B6" s="19" t="s">
        <v>289</v>
      </c>
      <c r="C6" s="19" t="s">
        <v>350</v>
      </c>
      <c r="D6" s="119" t="s">
        <v>153</v>
      </c>
      <c r="E6" s="120">
        <v>7000</v>
      </c>
      <c r="F6" s="120"/>
      <c r="G6" s="1" t="s">
        <v>350</v>
      </c>
      <c r="H6" s="122">
        <f>_xlfn.MAXIFS(RAW_DATA!$E$5:$E$12,RAW_DATA!$D$5:$D$12,G6)</f>
        <v>45678</v>
      </c>
      <c r="I6" s="19">
        <f t="shared" ref="I6:I9" ca="1" si="0">TODAY()-H6</f>
        <v>188</v>
      </c>
      <c r="J6" s="19">
        <f>COUNTIFS(RAW_DATA!D6:$D$12,G6)</f>
        <v>1</v>
      </c>
      <c r="K6" s="123">
        <f>SUMIFS(RAW_DATA!F6:$F$12,RAW_DATA!D6:$D$12,G6)</f>
        <v>7000</v>
      </c>
      <c r="L6" s="19">
        <f t="shared" ref="L6:L9" ca="1" si="1">IF(I6&lt;=20,5,IF(I6&lt;=40,4,IF(I6&lt;=60,3,IF(I6&lt;=90,2,1))))</f>
        <v>1</v>
      </c>
      <c r="M6" s="19">
        <f t="shared" ref="M6:M9" si="2">IF(J6&gt;=3,5,IF(J6&gt;=2,4,3))</f>
        <v>3</v>
      </c>
      <c r="N6" s="19">
        <f t="shared" ref="N6:N9" si="3">IF(K6&gt;=50000,5,IF(K6&gt;=20000,4,IF(K6&gt;=10000,3,2)))</f>
        <v>2</v>
      </c>
      <c r="O6" s="19" t="str">
        <f t="shared" ref="O6:O9" ca="1" si="4">TEXT(L6,"0")&amp;TEXT(M6,"0")&amp;TEXT(N6,"0")</f>
        <v>132</v>
      </c>
      <c r="P6" s="19" t="str">
        <f t="shared" ref="P6:P9" ca="1" si="5">IF(O6="555","Best",IF(L6&lt;=2,"At Risk","General"))</f>
        <v>At Risk</v>
      </c>
    </row>
    <row r="7" spans="1:16" ht="30" customHeight="1" x14ac:dyDescent="0.45">
      <c r="A7" s="19">
        <v>3</v>
      </c>
      <c r="B7" s="19" t="s">
        <v>319</v>
      </c>
      <c r="C7" s="19" t="s">
        <v>337</v>
      </c>
      <c r="D7" s="119" t="s">
        <v>151</v>
      </c>
      <c r="E7" s="120">
        <v>25000</v>
      </c>
      <c r="F7" s="120"/>
      <c r="G7" s="1" t="s">
        <v>337</v>
      </c>
      <c r="H7" s="122">
        <f>_xlfn.MAXIFS(RAW_DATA!$E$5:$E$12,RAW_DATA!$D$5:$D$12,G7)</f>
        <v>45838</v>
      </c>
      <c r="I7" s="19">
        <f t="shared" ca="1" si="0"/>
        <v>28</v>
      </c>
      <c r="J7" s="19">
        <f>COUNTIFS(RAW_DATA!D7:$D$12,G7)</f>
        <v>2</v>
      </c>
      <c r="K7" s="123">
        <f>SUMIFS(RAW_DATA!F7:$F$12,RAW_DATA!D7:$D$12,G7)</f>
        <v>55000</v>
      </c>
      <c r="L7" s="19">
        <f t="shared" ca="1" si="1"/>
        <v>4</v>
      </c>
      <c r="M7" s="19">
        <f t="shared" si="2"/>
        <v>4</v>
      </c>
      <c r="N7" s="19">
        <f t="shared" si="3"/>
        <v>5</v>
      </c>
      <c r="O7" s="19" t="str">
        <f t="shared" ca="1" si="4"/>
        <v>445</v>
      </c>
      <c r="P7" s="19" t="str">
        <f t="shared" ca="1" si="5"/>
        <v>General</v>
      </c>
    </row>
    <row r="8" spans="1:16" ht="30" customHeight="1" x14ac:dyDescent="0.45">
      <c r="A8" s="19">
        <v>4</v>
      </c>
      <c r="B8" s="19" t="s">
        <v>317</v>
      </c>
      <c r="C8" s="19" t="s">
        <v>348</v>
      </c>
      <c r="D8" s="119" t="s">
        <v>147</v>
      </c>
      <c r="E8" s="120">
        <v>15000</v>
      </c>
      <c r="F8" s="120"/>
      <c r="G8" s="1" t="s">
        <v>348</v>
      </c>
      <c r="H8" s="122">
        <f>_xlfn.MAXIFS(RAW_DATA!$E$5:$E$12,RAW_DATA!$D$5:$D$12,G8)</f>
        <v>45792</v>
      </c>
      <c r="I8" s="19">
        <f t="shared" ca="1" si="0"/>
        <v>74</v>
      </c>
      <c r="J8" s="19">
        <f>COUNTIFS(RAW_DATA!D8:$D$12,G8)</f>
        <v>1</v>
      </c>
      <c r="K8" s="123">
        <f>SUMIFS(RAW_DATA!F8:$F$12,RAW_DATA!D8:$D$12,G8)</f>
        <v>15000</v>
      </c>
      <c r="L8" s="19">
        <f t="shared" ca="1" si="1"/>
        <v>2</v>
      </c>
      <c r="M8" s="19">
        <f t="shared" si="2"/>
        <v>3</v>
      </c>
      <c r="N8" s="19">
        <f t="shared" si="3"/>
        <v>3</v>
      </c>
      <c r="O8" s="19" t="str">
        <f t="shared" ca="1" si="4"/>
        <v>233</v>
      </c>
      <c r="P8" s="19" t="str">
        <f t="shared" ca="1" si="5"/>
        <v>At Risk</v>
      </c>
    </row>
    <row r="9" spans="1:16" ht="30" customHeight="1" x14ac:dyDescent="0.45">
      <c r="A9" s="19">
        <v>5</v>
      </c>
      <c r="B9" s="19" t="s">
        <v>305</v>
      </c>
      <c r="C9" s="19" t="s">
        <v>331</v>
      </c>
      <c r="D9" s="119" t="s">
        <v>146</v>
      </c>
      <c r="E9" s="120">
        <v>8000</v>
      </c>
      <c r="F9" s="120"/>
      <c r="G9" s="1" t="s">
        <v>352</v>
      </c>
      <c r="H9" s="122">
        <f>_xlfn.MAXIFS(RAW_DATA!$E$5:$E$12,RAW_DATA!$D$5:$D$12,G9)</f>
        <v>45821</v>
      </c>
      <c r="I9" s="19">
        <f t="shared" ca="1" si="0"/>
        <v>45</v>
      </c>
      <c r="J9" s="19">
        <f>COUNTIFS(RAW_DATA!D9:$D$12,G9)</f>
        <v>1</v>
      </c>
      <c r="K9" s="123">
        <f>SUMIFS(RAW_DATA!F9:$F$12,RAW_DATA!D9:$D$12,G9)</f>
        <v>8000</v>
      </c>
      <c r="L9" s="19">
        <f t="shared" ca="1" si="1"/>
        <v>3</v>
      </c>
      <c r="M9" s="19">
        <f t="shared" si="2"/>
        <v>3</v>
      </c>
      <c r="N9" s="19">
        <f t="shared" si="3"/>
        <v>2</v>
      </c>
      <c r="O9" s="19" t="str">
        <f t="shared" ca="1" si="4"/>
        <v>332</v>
      </c>
      <c r="P9" s="19" t="str">
        <f t="shared" ca="1" si="5"/>
        <v>General</v>
      </c>
    </row>
    <row r="10" spans="1:16" ht="30" customHeight="1" x14ac:dyDescent="0.45">
      <c r="B10" s="109"/>
      <c r="C10" s="109"/>
      <c r="D10" s="109"/>
      <c r="E10" s="109"/>
      <c r="F10" s="109"/>
      <c r="G10" s="109"/>
    </row>
    <row r="11" spans="1:16" ht="30" customHeight="1" x14ac:dyDescent="0.45">
      <c r="B11" s="13"/>
      <c r="C11" s="13"/>
      <c r="D11" s="13"/>
      <c r="E11" s="13"/>
      <c r="F11" s="13"/>
      <c r="G11" s="13"/>
    </row>
    <row r="12" spans="1:16" ht="30" customHeight="1" x14ac:dyDescent="0.45">
      <c r="A12" s="109"/>
      <c r="B12" s="109"/>
      <c r="C12" s="109"/>
      <c r="D12" s="109"/>
      <c r="E12" s="109"/>
      <c r="F12" s="109"/>
      <c r="G12" s="109"/>
    </row>
  </sheetData>
  <phoneticPr fontId="9" type="noConversion"/>
  <pageMargins left="0.74805557727813721" right="0.74805557727813721" top="0.98430556058883667" bottom="0.98430556058883667" header="0.51152777671813965" footer="0.51152777671813965"/>
  <pageSetup paperSize="9" fitToWidth="0" fitToHeight="0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/>
  <dimension ref="A1:P14"/>
  <sheetViews>
    <sheetView zoomScale="110" zoomScaleNormal="110" zoomScaleSheetLayoutView="110" workbookViewId="0">
      <selection activeCell="F13" sqref="F13"/>
    </sheetView>
  </sheetViews>
  <sheetFormatPr defaultColWidth="9" defaultRowHeight="30" customHeight="1" x14ac:dyDescent="0.45"/>
  <cols>
    <col min="1" max="1" width="8.08203125" customWidth="1"/>
    <col min="2" max="2" width="15.25" customWidth="1"/>
    <col min="3" max="3" width="11.75" customWidth="1"/>
    <col min="4" max="4" width="40.33203125" customWidth="1"/>
    <col min="5" max="6" width="13.33203125" customWidth="1"/>
    <col min="7" max="7" width="11.75" customWidth="1"/>
    <col min="8" max="8" width="14.08203125" customWidth="1"/>
    <col min="9" max="16382" width="11.75" customWidth="1"/>
  </cols>
  <sheetData>
    <row r="1" spans="1:16" ht="30" customHeight="1" x14ac:dyDescent="0.45">
      <c r="A1" s="117" t="s">
        <v>75</v>
      </c>
    </row>
    <row r="2" spans="1:16" ht="30" customHeight="1" x14ac:dyDescent="0.45">
      <c r="A2" s="157" t="s">
        <v>274</v>
      </c>
      <c r="B2" s="157"/>
      <c r="C2" s="157"/>
      <c r="D2" s="157"/>
      <c r="E2" s="157"/>
    </row>
    <row r="3" spans="1:16" ht="30" customHeight="1" x14ac:dyDescent="0.45">
      <c r="A3" s="19"/>
      <c r="B3" s="124" t="s">
        <v>381</v>
      </c>
      <c r="C3" s="124" t="s">
        <v>284</v>
      </c>
      <c r="D3" s="124" t="s">
        <v>309</v>
      </c>
      <c r="E3" s="1"/>
      <c r="F3" s="21" t="s">
        <v>1</v>
      </c>
      <c r="G3" s="182" t="s">
        <v>22</v>
      </c>
      <c r="H3" s="183"/>
      <c r="I3" s="182"/>
      <c r="J3" s="182"/>
      <c r="K3" s="182"/>
      <c r="L3" s="182"/>
      <c r="M3" s="19"/>
      <c r="N3" s="19"/>
      <c r="O3" s="19"/>
      <c r="P3" s="19"/>
    </row>
    <row r="4" spans="1:16" ht="30" customHeight="1" x14ac:dyDescent="0.45">
      <c r="A4" s="19"/>
      <c r="B4" s="19" t="s">
        <v>387</v>
      </c>
      <c r="C4" s="19">
        <v>1</v>
      </c>
      <c r="D4" s="119" t="s">
        <v>345</v>
      </c>
      <c r="E4" s="120"/>
      <c r="F4" s="129" t="s">
        <v>322</v>
      </c>
      <c r="G4" s="184" t="s">
        <v>116</v>
      </c>
      <c r="H4" s="185"/>
      <c r="I4" s="185"/>
      <c r="J4" s="185"/>
      <c r="K4" s="185"/>
      <c r="L4" s="186"/>
      <c r="M4" s="19"/>
      <c r="N4" s="19"/>
      <c r="O4" s="19"/>
      <c r="P4" s="19"/>
    </row>
    <row r="5" spans="1:16" ht="30" customHeight="1" x14ac:dyDescent="0.45">
      <c r="A5" s="19"/>
      <c r="B5" s="19" t="s">
        <v>397</v>
      </c>
      <c r="C5" s="19">
        <v>1</v>
      </c>
      <c r="D5" s="119" t="s">
        <v>350</v>
      </c>
      <c r="E5" s="120"/>
      <c r="F5" s="130" t="s">
        <v>393</v>
      </c>
      <c r="G5" s="187" t="s">
        <v>117</v>
      </c>
      <c r="H5" s="188"/>
      <c r="I5" s="188"/>
      <c r="J5" s="188"/>
      <c r="K5" s="188"/>
      <c r="L5" s="189"/>
      <c r="M5" s="19"/>
      <c r="N5" s="19"/>
      <c r="O5" s="19"/>
      <c r="P5" s="19"/>
    </row>
    <row r="6" spans="1:16" ht="30" customHeight="1" x14ac:dyDescent="0.45">
      <c r="A6" s="19"/>
      <c r="B6" s="19" t="s">
        <v>384</v>
      </c>
      <c r="C6" s="19">
        <v>3</v>
      </c>
      <c r="D6" s="119" t="s">
        <v>74</v>
      </c>
      <c r="E6" s="120"/>
      <c r="F6" s="130" t="s">
        <v>320</v>
      </c>
      <c r="G6" s="187" t="s">
        <v>389</v>
      </c>
      <c r="H6" s="188"/>
      <c r="I6" s="188"/>
      <c r="J6" s="188"/>
      <c r="K6" s="188"/>
      <c r="L6" s="189"/>
      <c r="M6" s="19"/>
      <c r="N6" s="19"/>
      <c r="O6" s="19"/>
      <c r="P6" s="19"/>
    </row>
    <row r="7" spans="1:16" ht="30" customHeight="1" x14ac:dyDescent="0.45">
      <c r="A7" s="19"/>
      <c r="B7" s="19"/>
      <c r="C7" s="19"/>
      <c r="D7" s="119"/>
      <c r="E7" s="120"/>
      <c r="F7" s="130" t="s">
        <v>388</v>
      </c>
      <c r="G7" s="187" t="s">
        <v>275</v>
      </c>
      <c r="H7" s="188"/>
      <c r="I7" s="188"/>
      <c r="J7" s="188"/>
      <c r="K7" s="188"/>
      <c r="L7" s="189"/>
      <c r="M7" s="19"/>
      <c r="N7" s="19"/>
      <c r="O7" s="19"/>
      <c r="P7" s="19"/>
    </row>
    <row r="8" spans="1:16" ht="30" customHeight="1" x14ac:dyDescent="0.45">
      <c r="A8" s="19"/>
      <c r="B8" s="128" t="s">
        <v>1</v>
      </c>
      <c r="C8" s="190" t="s">
        <v>22</v>
      </c>
      <c r="D8" s="191"/>
      <c r="E8" s="120"/>
      <c r="F8" s="130" t="s">
        <v>394</v>
      </c>
      <c r="G8" s="187" t="s">
        <v>246</v>
      </c>
      <c r="H8" s="188"/>
      <c r="I8" s="188"/>
      <c r="J8" s="188"/>
      <c r="K8" s="188"/>
      <c r="L8" s="189"/>
      <c r="M8" s="19"/>
      <c r="N8" s="19"/>
      <c r="O8" s="19"/>
      <c r="P8" s="19"/>
    </row>
    <row r="9" spans="1:16" ht="30" customHeight="1" x14ac:dyDescent="0.45">
      <c r="B9" s="125" t="s">
        <v>386</v>
      </c>
      <c r="C9" s="192" t="s">
        <v>387</v>
      </c>
      <c r="D9" s="193"/>
      <c r="E9" s="109"/>
      <c r="F9" s="126" t="s">
        <v>390</v>
      </c>
      <c r="G9" s="194" t="s">
        <v>252</v>
      </c>
      <c r="H9" s="194"/>
      <c r="I9" s="194"/>
      <c r="J9" s="194"/>
      <c r="K9" s="194"/>
      <c r="L9" s="195"/>
    </row>
    <row r="10" spans="1:16" ht="30" customHeight="1" x14ac:dyDescent="0.45">
      <c r="B10" s="55" t="s">
        <v>379</v>
      </c>
      <c r="C10" s="187" t="s">
        <v>345</v>
      </c>
      <c r="D10" s="137"/>
      <c r="E10" s="13"/>
      <c r="F10" s="127" t="s">
        <v>380</v>
      </c>
      <c r="G10" s="196" t="s">
        <v>65</v>
      </c>
      <c r="H10" s="196"/>
      <c r="I10" s="196"/>
      <c r="J10" s="196"/>
      <c r="K10" s="196"/>
      <c r="L10" s="197"/>
    </row>
    <row r="11" spans="1:16" ht="37.5" customHeight="1" x14ac:dyDescent="0.45">
      <c r="A11" s="109"/>
      <c r="B11" s="126" t="s">
        <v>360</v>
      </c>
      <c r="C11" s="194" t="s">
        <v>194</v>
      </c>
      <c r="D11" s="195"/>
      <c r="E11" s="109"/>
      <c r="F11" s="109"/>
      <c r="G11" s="109"/>
    </row>
    <row r="12" spans="1:16" ht="36" customHeight="1" x14ac:dyDescent="0.45">
      <c r="B12" s="55" t="s">
        <v>396</v>
      </c>
      <c r="C12" s="188" t="s">
        <v>251</v>
      </c>
      <c r="D12" s="189"/>
    </row>
    <row r="13" spans="1:16" ht="58.5" customHeight="1" x14ac:dyDescent="0.45">
      <c r="B13" s="55" t="s">
        <v>395</v>
      </c>
      <c r="C13" s="194" t="s">
        <v>27</v>
      </c>
      <c r="D13" s="189"/>
    </row>
    <row r="14" spans="1:16" ht="50.25" customHeight="1" x14ac:dyDescent="0.45">
      <c r="B14" s="127" t="s">
        <v>385</v>
      </c>
      <c r="C14" s="198" t="s">
        <v>34</v>
      </c>
      <c r="D14" s="197"/>
    </row>
  </sheetData>
  <mergeCells count="16">
    <mergeCell ref="C14:D14"/>
    <mergeCell ref="C10:D10"/>
    <mergeCell ref="G10:L10"/>
    <mergeCell ref="C11:D11"/>
    <mergeCell ref="C12:D12"/>
    <mergeCell ref="C13:D13"/>
    <mergeCell ref="G7:L7"/>
    <mergeCell ref="C8:D8"/>
    <mergeCell ref="G8:L8"/>
    <mergeCell ref="C9:D9"/>
    <mergeCell ref="G9:L9"/>
    <mergeCell ref="A2:E2"/>
    <mergeCell ref="G3:L3"/>
    <mergeCell ref="G4:L4"/>
    <mergeCell ref="G5:L5"/>
    <mergeCell ref="G6:L6"/>
  </mergeCells>
  <phoneticPr fontId="9" type="noConversion"/>
  <pageMargins left="0.74805557727813721" right="0.74805557727813721" top="0.98430556058883667" bottom="0.98430556058883667" header="0.51152777671813965" footer="0.51152777671813965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1750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OKR, KPI 설정</vt:lpstr>
      <vt:lpstr>Content Marketing process-</vt:lpstr>
      <vt:lpstr>Sheet4</vt:lpstr>
      <vt:lpstr>WBS 제작 실습</vt:lpstr>
      <vt:lpstr>Funnel 전략</vt:lpstr>
      <vt:lpstr>UTL 빌더</vt:lpstr>
      <vt:lpstr>간단</vt:lpstr>
      <vt:lpstr>RoAS 실습</vt:lpstr>
      <vt:lpstr>RoAS 실습 미션</vt:lpstr>
      <vt:lpstr>ROI 실습</vt:lpstr>
      <vt:lpstr>3C 분석 시트</vt:lpstr>
      <vt:lpstr>SWOT 전략 수립</vt:lpstr>
      <vt:lpstr>STP 전략 수립</vt:lpstr>
      <vt:lpstr>STP 전략 수립_Mission</vt:lpstr>
      <vt:lpstr>RFM 분석</vt:lpstr>
      <vt:lpstr>RAW_DATA</vt:lpstr>
      <vt:lpstr>RFM Model</vt:lpstr>
      <vt:lpstr>RFM Model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용진 김</cp:lastModifiedBy>
  <cp:revision>176</cp:revision>
  <dcterms:created xsi:type="dcterms:W3CDTF">2025-06-30T08:46:07Z</dcterms:created>
  <dcterms:modified xsi:type="dcterms:W3CDTF">2025-07-28T01:44:17Z</dcterms:modified>
  <cp:version>1200.0100.01</cp:version>
</cp:coreProperties>
</file>